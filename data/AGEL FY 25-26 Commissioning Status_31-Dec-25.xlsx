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daniltd-my.sharepoint.com/personal/30143425_adani_com/Documents/Sagar Vishwakarma - Adani/CEO Office/3. Khavda Ph-II &amp; III (Solar + Wind + Infra)/MD Review/05. 31-Dec-25/"/>
    </mc:Choice>
  </mc:AlternateContent>
  <xr:revisionPtr revIDLastSave="0" documentId="8_{76749B50-76B7-4EAE-86F0-B749AD3AD32E}" xr6:coauthVersionLast="47" xr6:coauthVersionMax="47" xr10:uidLastSave="{00000000-0000-0000-0000-000000000000}"/>
  <bookViews>
    <workbookView xWindow="-120" yWindow="-120" windowWidth="20730" windowHeight="11040" tabRatio="629" firstSheet="2" activeTab="2" xr2:uid="{6866CFC8-D592-407C-BC27-10A3E821DA97}"/>
  </bookViews>
  <sheets>
    <sheet name="KH Solar Plan" sheetId="39" state="hidden" r:id="rId1"/>
    <sheet name="KH Solar Rephase" sheetId="38" state="hidden" r:id="rId2"/>
    <sheet name="Summary Linked" sheetId="36" r:id="rId3"/>
    <sheet name="KH Wind Actual" sheetId="46" r:id="rId4"/>
    <sheet name="KH Solar Actual" sheetId="32" r:id="rId5"/>
    <sheet name=" RJ Solar Plan" sheetId="15" state="hidden" r:id="rId6"/>
    <sheet name=" RJ Solar Rephase" sheetId="40" state="hidden" r:id="rId7"/>
    <sheet name=" RJ Solar - Actual" sheetId="41" r:id="rId8"/>
    <sheet name="KH Wind Plan" sheetId="44" state="hidden" r:id="rId9"/>
    <sheet name="KH Wind Rephase" sheetId="45" state="hidden" r:id="rId10"/>
    <sheet name="KH Wind Internal" sheetId="48" r:id="rId11"/>
    <sheet name="Wind Mundra" sheetId="16" state="hidden" r:id="rId12"/>
  </sheets>
  <externalReferences>
    <externalReference r:id="rId13"/>
  </externalReferences>
  <definedNames>
    <definedName name="_xlnm._FilterDatabase" localSheetId="7" hidden="1">' RJ Solar - Actual'!#REF!</definedName>
    <definedName name="_xlnm._FilterDatabase" localSheetId="5" hidden="1">' RJ Solar Plan'!#REF!</definedName>
    <definedName name="_xlnm._FilterDatabase" localSheetId="6" hidden="1">' RJ Solar Rephase'!#REF!</definedName>
    <definedName name="_xlnm._FilterDatabase" localSheetId="4" hidden="1">'KH Solar Actual'!$A$3:$BD$38</definedName>
    <definedName name="_xlnm._FilterDatabase" localSheetId="0" hidden="1">'KH Solar Plan'!$A$22:$AR$44</definedName>
    <definedName name="_xlnm._FilterDatabase" localSheetId="1" hidden="1">'KH Solar Rephase'!$A$13:$AQ$35</definedName>
    <definedName name="_xlnm._FilterDatabase" localSheetId="3" hidden="1">'KH Wind Actual'!$A$4:$S$20</definedName>
    <definedName name="_xlnm._FilterDatabase" localSheetId="10" hidden="1">'KH Wind Internal'!$A$3:$U$43</definedName>
    <definedName name="_xlnm._FilterDatabase" localSheetId="2" hidden="1">'Summary Linked'!$B$31:$W$104</definedName>
    <definedName name="_xlnm._FilterDatabase" localSheetId="11" hidden="1">'Wind Mundra'!$A$2:$S$2</definedName>
    <definedName name="_xlnm.Print_Area" localSheetId="7">' RJ Solar - Actual'!$A$1:$AA$37</definedName>
    <definedName name="_xlnm.Print_Area" localSheetId="5">' RJ Solar Plan'!$A$1:$AA$37</definedName>
    <definedName name="_xlnm.Print_Area" localSheetId="6">' RJ Solar Rephase'!$A$1:$AA$37</definedName>
    <definedName name="_xlnm.Print_Area" localSheetId="4">'KH Solar Actual'!$A$2:$AL$40</definedName>
    <definedName name="_xlnm.Print_Area" localSheetId="0">'KH Solar Plan'!$A$2:$AQ$48</definedName>
    <definedName name="_xlnm.Print_Area" localSheetId="1">'KH Solar Rephase'!$A$2:$AP$39</definedName>
    <definedName name="_xlnm.Print_Area" localSheetId="3">'KH Wind Actual'!$A$1:$S$37</definedName>
    <definedName name="_xlnm.Print_Area" localSheetId="10">'KH Wind Internal'!$A$2:$AD$52</definedName>
    <definedName name="_xlnm.Print_Area" localSheetId="8">'KH Wind Plan'!$A$2:$S$15</definedName>
    <definedName name="_xlnm.Print_Area" localSheetId="9">'KH Wind Rephase'!$A$2:$S$15</definedName>
    <definedName name="_xlnm.Print_Area" localSheetId="2">'Summary Linked'!$B$1:$AB$337</definedName>
    <definedName name="_xlnm.Print_Area" localSheetId="11">'Wind Mundra'!$A$1:$S$14</definedName>
    <definedName name="_xlnm.Print_Titles" localSheetId="2">'Summary Linked'!$31:$31</definedName>
    <definedName name="TASK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6" i="36" l="1"/>
  <c r="J34" i="46"/>
  <c r="J37" i="46" s="1"/>
  <c r="I37" i="46"/>
  <c r="J36" i="46"/>
  <c r="I36" i="46"/>
  <c r="I35" i="46"/>
  <c r="U258" i="36" l="1"/>
  <c r="T258" i="36"/>
  <c r="S258" i="36"/>
  <c r="R258" i="36"/>
  <c r="U252" i="36"/>
  <c r="T252" i="36"/>
  <c r="S252" i="36"/>
  <c r="R252" i="36"/>
  <c r="P14" i="46"/>
  <c r="O14" i="46"/>
  <c r="R115" i="36" l="1"/>
  <c r="S89" i="36"/>
  <c r="R89" i="36"/>
  <c r="T77" i="36"/>
  <c r="S77" i="36"/>
  <c r="R77" i="36"/>
  <c r="S65" i="36"/>
  <c r="R65" i="36"/>
  <c r="AC7" i="41" l="1"/>
  <c r="W16" i="32" l="1"/>
  <c r="AL8" i="32"/>
  <c r="AL11" i="32" l="1"/>
  <c r="AL9" i="32" l="1"/>
  <c r="Q24" i="46" l="1"/>
  <c r="S24" i="46"/>
  <c r="U38" i="48"/>
  <c r="T38" i="48"/>
  <c r="S38" i="48"/>
  <c r="U37" i="48"/>
  <c r="T37" i="48"/>
  <c r="T36" i="48"/>
  <c r="S36" i="48"/>
  <c r="T35" i="48"/>
  <c r="S35" i="48"/>
  <c r="R35" i="48"/>
  <c r="U34" i="48"/>
  <c r="R34" i="48"/>
  <c r="S33" i="48"/>
  <c r="R33" i="48"/>
  <c r="T32" i="48"/>
  <c r="S32" i="48"/>
  <c r="R32" i="48"/>
  <c r="U14" i="48"/>
  <c r="AL34" i="32"/>
  <c r="AD16" i="32" l="1"/>
  <c r="AA16" i="32"/>
  <c r="Z16" i="32"/>
  <c r="Y16" i="32"/>
  <c r="X16" i="32"/>
  <c r="V16" i="32"/>
  <c r="U16" i="32"/>
  <c r="T16" i="32"/>
  <c r="S16" i="32"/>
  <c r="R16" i="32"/>
  <c r="Q16" i="32"/>
  <c r="P16" i="32"/>
  <c r="O16" i="32"/>
  <c r="I16" i="32"/>
  <c r="I29" i="32" s="1"/>
  <c r="V29" i="32" l="1"/>
  <c r="O29" i="32"/>
  <c r="W29" i="32"/>
  <c r="P29" i="32"/>
  <c r="X29" i="32"/>
  <c r="Q29" i="32"/>
  <c r="Y29" i="32"/>
  <c r="R29" i="32"/>
  <c r="Z29" i="32"/>
  <c r="S29" i="32"/>
  <c r="T29" i="32"/>
  <c r="U29" i="32"/>
  <c r="K16" i="32"/>
  <c r="K59" i="48"/>
  <c r="J59" i="48"/>
  <c r="U51" i="48"/>
  <c r="T51" i="48"/>
  <c r="T58" i="48" s="1"/>
  <c r="S51" i="48"/>
  <c r="S58" i="48" s="1"/>
  <c r="R51" i="48"/>
  <c r="Q51" i="48"/>
  <c r="P51" i="48"/>
  <c r="O51" i="48"/>
  <c r="N51" i="48"/>
  <c r="M51" i="48"/>
  <c r="J51" i="48"/>
  <c r="J58" i="48" s="1"/>
  <c r="R50" i="48"/>
  <c r="Q50" i="48"/>
  <c r="P50" i="48"/>
  <c r="K50" i="48"/>
  <c r="K56" i="48" s="1"/>
  <c r="AB49" i="48"/>
  <c r="AA49" i="48" s="1"/>
  <c r="T49" i="48"/>
  <c r="S49" i="48"/>
  <c r="Q49" i="48"/>
  <c r="P49" i="48"/>
  <c r="O49" i="48"/>
  <c r="N49" i="48"/>
  <c r="M49" i="48"/>
  <c r="L49" i="48"/>
  <c r="K49" i="48"/>
  <c r="J49" i="48"/>
  <c r="J57" i="48" s="1"/>
  <c r="I49" i="48"/>
  <c r="H45" i="48"/>
  <c r="W43" i="48"/>
  <c r="O40" i="48"/>
  <c r="O39" i="48"/>
  <c r="N39" i="48"/>
  <c r="N40" i="48" s="1"/>
  <c r="L39" i="48"/>
  <c r="L42" i="48" s="1"/>
  <c r="K39" i="48"/>
  <c r="K42" i="48" s="1"/>
  <c r="J39" i="48"/>
  <c r="I39" i="48"/>
  <c r="Z38" i="48"/>
  <c r="Y38" i="48" s="1"/>
  <c r="X38" i="48"/>
  <c r="W38" i="48" s="1"/>
  <c r="E38" i="48"/>
  <c r="F38" i="48" s="1"/>
  <c r="Z37" i="48"/>
  <c r="Y37" i="48" s="1"/>
  <c r="X37" i="48"/>
  <c r="W37" i="48" s="1"/>
  <c r="E37" i="48"/>
  <c r="F37" i="48" s="1"/>
  <c r="Z36" i="48"/>
  <c r="Y36" i="48" s="1"/>
  <c r="X36" i="48"/>
  <c r="W36" i="48" s="1"/>
  <c r="E36" i="48"/>
  <c r="F36" i="48" s="1"/>
  <c r="Z35" i="48"/>
  <c r="Y35" i="48" s="1"/>
  <c r="X35" i="48"/>
  <c r="W35" i="48"/>
  <c r="T39" i="48"/>
  <c r="H35" i="48"/>
  <c r="E35" i="48"/>
  <c r="F35" i="48" s="1"/>
  <c r="Z34" i="48"/>
  <c r="AD34" i="48" s="1"/>
  <c r="AC34" i="48" s="1"/>
  <c r="Y34" i="48"/>
  <c r="U49" i="48"/>
  <c r="R49" i="48"/>
  <c r="Q34" i="48"/>
  <c r="Q39" i="48" s="1"/>
  <c r="P34" i="48"/>
  <c r="E34" i="48"/>
  <c r="F34" i="48" s="1"/>
  <c r="AD33" i="48"/>
  <c r="AC33" i="48"/>
  <c r="Z33" i="48"/>
  <c r="Y33" i="48" s="1"/>
  <c r="E33" i="48"/>
  <c r="Z32" i="48"/>
  <c r="AD32" i="48" s="1"/>
  <c r="AC32" i="48" s="1"/>
  <c r="Y32" i="48"/>
  <c r="U50" i="48"/>
  <c r="S39" i="48"/>
  <c r="E32" i="48"/>
  <c r="F32" i="48" s="1"/>
  <c r="AD31" i="48"/>
  <c r="AC31" i="48"/>
  <c r="Z31" i="48"/>
  <c r="Y31" i="48" s="1"/>
  <c r="M31" i="48"/>
  <c r="M39" i="48" s="1"/>
  <c r="H31" i="48"/>
  <c r="H32" i="48" s="1"/>
  <c r="E31" i="48"/>
  <c r="E39" i="48" s="1"/>
  <c r="S26" i="48"/>
  <c r="U25" i="48"/>
  <c r="U59" i="48" s="1"/>
  <c r="T25" i="48"/>
  <c r="T59" i="48" s="1"/>
  <c r="S25" i="48"/>
  <c r="S59" i="48" s="1"/>
  <c r="R25" i="48"/>
  <c r="Q25" i="48"/>
  <c r="P25" i="48"/>
  <c r="O25" i="48"/>
  <c r="N25" i="48"/>
  <c r="M25" i="48"/>
  <c r="I25" i="48"/>
  <c r="I59" i="48" s="1"/>
  <c r="U24" i="48"/>
  <c r="T24" i="48"/>
  <c r="S24" i="48"/>
  <c r="R24" i="48"/>
  <c r="Q24" i="48"/>
  <c r="P24" i="48"/>
  <c r="O24" i="48"/>
  <c r="N24" i="48"/>
  <c r="M24" i="48"/>
  <c r="U23" i="48"/>
  <c r="T23" i="48"/>
  <c r="S23" i="48"/>
  <c r="S57" i="48" s="1"/>
  <c r="R23" i="48"/>
  <c r="Q23" i="48"/>
  <c r="P23" i="48"/>
  <c r="O23" i="48"/>
  <c r="N23" i="48"/>
  <c r="M23" i="48"/>
  <c r="I23" i="48"/>
  <c r="U22" i="48"/>
  <c r="S22" i="48"/>
  <c r="R22" i="48"/>
  <c r="R26" i="48" s="1"/>
  <c r="Q22" i="48"/>
  <c r="Q26" i="48" s="1"/>
  <c r="P22" i="48"/>
  <c r="P26" i="48" s="1"/>
  <c r="O22" i="48"/>
  <c r="O26" i="48" s="1"/>
  <c r="N22" i="48"/>
  <c r="N26" i="48" s="1"/>
  <c r="I22" i="48"/>
  <c r="AL20" i="48"/>
  <c r="AK20" i="48"/>
  <c r="AL19" i="48"/>
  <c r="R19" i="48"/>
  <c r="L19" i="48"/>
  <c r="AL18" i="48"/>
  <c r="U18" i="48"/>
  <c r="S18" i="48"/>
  <c r="R18" i="48"/>
  <c r="Q18" i="48"/>
  <c r="Q19" i="48" s="1"/>
  <c r="P18" i="48"/>
  <c r="P19" i="48" s="1"/>
  <c r="L18" i="48"/>
  <c r="K18" i="48"/>
  <c r="K68" i="48" s="1"/>
  <c r="AL17" i="48"/>
  <c r="AA17" i="48"/>
  <c r="X17" i="48"/>
  <c r="W17" i="48"/>
  <c r="M17" i="48"/>
  <c r="Z17" i="48" s="1"/>
  <c r="E17" i="48"/>
  <c r="F17" i="48" s="1"/>
  <c r="AL16" i="48"/>
  <c r="AA16" i="48"/>
  <c r="X16" i="48"/>
  <c r="W16" i="48"/>
  <c r="Q16" i="48"/>
  <c r="N16" i="48"/>
  <c r="N18" i="48" s="1"/>
  <c r="E16" i="48"/>
  <c r="F16" i="48" s="1"/>
  <c r="AA15" i="48"/>
  <c r="X15" i="48"/>
  <c r="W15" i="48"/>
  <c r="S15" i="48"/>
  <c r="S50" i="48" s="1"/>
  <c r="S56" i="48" s="1"/>
  <c r="Q15" i="48"/>
  <c r="O15" i="48"/>
  <c r="O18" i="48" s="1"/>
  <c r="O19" i="48" s="1"/>
  <c r="F15" i="48"/>
  <c r="E15" i="48"/>
  <c r="AF15" i="48" s="1"/>
  <c r="AA14" i="48"/>
  <c r="X14" i="48"/>
  <c r="W14" i="48" s="1"/>
  <c r="T50" i="48"/>
  <c r="M14" i="48"/>
  <c r="M22" i="48" s="1"/>
  <c r="M26" i="48" s="1"/>
  <c r="L14" i="48"/>
  <c r="Z14" i="48" s="1"/>
  <c r="E14" i="48"/>
  <c r="F14" i="48" s="1"/>
  <c r="AB13" i="48"/>
  <c r="AA13" i="48"/>
  <c r="Z13" i="48"/>
  <c r="AD13" i="48" s="1"/>
  <c r="AC13" i="48" s="1"/>
  <c r="X13" i="48"/>
  <c r="W13" i="48" s="1"/>
  <c r="I13" i="48"/>
  <c r="E13" i="48"/>
  <c r="F13" i="48" s="1"/>
  <c r="AA12" i="48"/>
  <c r="Z12" i="48"/>
  <c r="AD12" i="48" s="1"/>
  <c r="AC12" i="48" s="1"/>
  <c r="Y12" i="48"/>
  <c r="L12" i="48"/>
  <c r="L50" i="48" s="1"/>
  <c r="J12" i="48"/>
  <c r="X12" i="48" s="1"/>
  <c r="W12" i="48" s="1"/>
  <c r="E12" i="48"/>
  <c r="F12" i="48" s="1"/>
  <c r="AB11" i="48"/>
  <c r="AD11" i="48" s="1"/>
  <c r="AC11" i="48" s="1"/>
  <c r="AA11" i="48"/>
  <c r="Z11" i="48"/>
  <c r="Y11" i="48" s="1"/>
  <c r="X11" i="48"/>
  <c r="W11" i="48" s="1"/>
  <c r="I11" i="48"/>
  <c r="E11" i="48"/>
  <c r="F11" i="48" s="1"/>
  <c r="AB10" i="48"/>
  <c r="AD10" i="48" s="1"/>
  <c r="AC10" i="48" s="1"/>
  <c r="AA10" i="48"/>
  <c r="Z10" i="48"/>
  <c r="Y10" i="48" s="1"/>
  <c r="L10" i="48"/>
  <c r="X10" i="48" s="1"/>
  <c r="W10" i="48" s="1"/>
  <c r="K10" i="48"/>
  <c r="K51" i="48" s="1"/>
  <c r="K58" i="48" s="1"/>
  <c r="I10" i="48"/>
  <c r="I51" i="48" s="1"/>
  <c r="F10" i="48"/>
  <c r="E10" i="48"/>
  <c r="AB9" i="48"/>
  <c r="J9" i="48"/>
  <c r="J18" i="48" s="1"/>
  <c r="I9" i="48"/>
  <c r="F9" i="48"/>
  <c r="E9" i="48"/>
  <c r="AF9" i="48" s="1"/>
  <c r="AD8" i="48"/>
  <c r="AC8" i="48"/>
  <c r="AB8" i="48"/>
  <c r="AA8" i="48"/>
  <c r="Z8" i="48"/>
  <c r="Y8" i="48"/>
  <c r="X8" i="48"/>
  <c r="W8" i="48"/>
  <c r="I8" i="48"/>
  <c r="F8" i="48"/>
  <c r="E8" i="48"/>
  <c r="AF8" i="48" s="1"/>
  <c r="AG7" i="48"/>
  <c r="AF7" i="48"/>
  <c r="AD7" i="48"/>
  <c r="AC7" i="48" s="1"/>
  <c r="AB7" i="48"/>
  <c r="AB18" i="48" s="1"/>
  <c r="Z7" i="48"/>
  <c r="Y7" i="48" s="1"/>
  <c r="X7" i="48"/>
  <c r="W7" i="48" s="1"/>
  <c r="I7" i="48"/>
  <c r="I50" i="48" s="1"/>
  <c r="E7" i="48"/>
  <c r="F7" i="48" s="1"/>
  <c r="AF6" i="48"/>
  <c r="AD6" i="48"/>
  <c r="AC6" i="48" s="1"/>
  <c r="AA6" i="48"/>
  <c r="Z6" i="48"/>
  <c r="Y6" i="48"/>
  <c r="X6" i="48"/>
  <c r="W6" i="48"/>
  <c r="F6" i="48"/>
  <c r="AF5" i="48"/>
  <c r="AA5" i="48"/>
  <c r="Z5" i="48"/>
  <c r="AD5" i="48" s="1"/>
  <c r="AC5" i="48" s="1"/>
  <c r="X5" i="48"/>
  <c r="W5" i="48" s="1"/>
  <c r="F5" i="48"/>
  <c r="K74" i="36"/>
  <c r="L74" i="36"/>
  <c r="M74" i="36"/>
  <c r="N74" i="36"/>
  <c r="O74" i="36"/>
  <c r="P74" i="36"/>
  <c r="Q74" i="36"/>
  <c r="R74" i="36"/>
  <c r="S74" i="36"/>
  <c r="T74" i="36"/>
  <c r="U74" i="36"/>
  <c r="J74" i="36"/>
  <c r="K73" i="36"/>
  <c r="K67" i="36" s="1"/>
  <c r="L73" i="36"/>
  <c r="L67" i="36" s="1"/>
  <c r="M73" i="36"/>
  <c r="M67" i="36" s="1"/>
  <c r="N73" i="36"/>
  <c r="N67" i="36" s="1"/>
  <c r="O73" i="36"/>
  <c r="O67" i="36" s="1"/>
  <c r="P73" i="36"/>
  <c r="P67" i="36" s="1"/>
  <c r="Q73" i="36"/>
  <c r="Q67" i="36" s="1"/>
  <c r="R73" i="36"/>
  <c r="R67" i="36" s="1"/>
  <c r="S73" i="36"/>
  <c r="T73" i="36"/>
  <c r="T67" i="36" s="1"/>
  <c r="U73" i="36"/>
  <c r="U67" i="36" s="1"/>
  <c r="J73" i="36"/>
  <c r="J67" i="36" s="1"/>
  <c r="K72" i="36"/>
  <c r="K66" i="36" s="1"/>
  <c r="L72" i="36"/>
  <c r="L66" i="36" s="1"/>
  <c r="M72" i="36"/>
  <c r="M66" i="36" s="1"/>
  <c r="N72" i="36"/>
  <c r="N66" i="36" s="1"/>
  <c r="O72" i="36"/>
  <c r="O66" i="36" s="1"/>
  <c r="P72" i="36"/>
  <c r="P66" i="36" s="1"/>
  <c r="Q72" i="36"/>
  <c r="Q66" i="36" s="1"/>
  <c r="R72" i="36"/>
  <c r="R66" i="36" s="1"/>
  <c r="S72" i="36"/>
  <c r="S66" i="36" s="1"/>
  <c r="T72" i="36"/>
  <c r="T66" i="36" s="1"/>
  <c r="U72" i="36"/>
  <c r="U66" i="36" s="1"/>
  <c r="J72" i="36"/>
  <c r="J66" i="36" s="1"/>
  <c r="K19" i="38"/>
  <c r="M19" i="38" s="1"/>
  <c r="O19" i="38"/>
  <c r="AQ19" i="38"/>
  <c r="P28" i="39"/>
  <c r="K28" i="39"/>
  <c r="M28" i="39" s="1"/>
  <c r="AR28" i="39"/>
  <c r="K18" i="32"/>
  <c r="U180" i="36"/>
  <c r="S180" i="36"/>
  <c r="R180" i="36"/>
  <c r="Q180" i="36"/>
  <c r="P180" i="36"/>
  <c r="O180" i="36"/>
  <c r="N180" i="36"/>
  <c r="M180" i="36"/>
  <c r="L180" i="36"/>
  <c r="K180" i="36"/>
  <c r="J180" i="36"/>
  <c r="T180" i="36"/>
  <c r="AA67" i="36" l="1"/>
  <c r="Y67" i="36"/>
  <c r="Z66" i="36"/>
  <c r="Z67" i="36"/>
  <c r="W66" i="36"/>
  <c r="AB66" i="36"/>
  <c r="AA66" i="36"/>
  <c r="V66" i="36"/>
  <c r="W67" i="36"/>
  <c r="AB73" i="36"/>
  <c r="S67" i="36"/>
  <c r="AB67" i="36" s="1"/>
  <c r="Y66" i="36"/>
  <c r="T57" i="48"/>
  <c r="U58" i="48"/>
  <c r="Q52" i="48"/>
  <c r="I57" i="48"/>
  <c r="P52" i="48"/>
  <c r="R52" i="48"/>
  <c r="Z74" i="36"/>
  <c r="S40" i="48"/>
  <c r="S67" i="48"/>
  <c r="S42" i="48"/>
  <c r="J68" i="48"/>
  <c r="Z18" i="48"/>
  <c r="Y18" i="48" s="1"/>
  <c r="J19" i="48"/>
  <c r="S68" i="48"/>
  <c r="M40" i="48"/>
  <c r="M44" i="48" s="1"/>
  <c r="AA18" i="48"/>
  <c r="AB42" i="48"/>
  <c r="AA42" i="48" s="1"/>
  <c r="AD18" i="48"/>
  <c r="AC18" i="48" s="1"/>
  <c r="F19" i="48"/>
  <c r="U57" i="48"/>
  <c r="S60" i="48"/>
  <c r="S62" i="48" s="1"/>
  <c r="S64" i="48" s="1"/>
  <c r="Y17" i="48"/>
  <c r="AD17" i="48"/>
  <c r="AC17" i="48" s="1"/>
  <c r="T67" i="48"/>
  <c r="T40" i="48"/>
  <c r="O42" i="48"/>
  <c r="I52" i="48"/>
  <c r="U56" i="48"/>
  <c r="O44" i="48"/>
  <c r="S52" i="48"/>
  <c r="T52" i="48"/>
  <c r="Y14" i="48"/>
  <c r="AD14" i="48"/>
  <c r="AC14" i="48" s="1"/>
  <c r="Q42" i="48"/>
  <c r="Q40" i="48"/>
  <c r="Q44" i="48" s="1"/>
  <c r="U52" i="48"/>
  <c r="I56" i="48"/>
  <c r="K52" i="48"/>
  <c r="E42" i="48"/>
  <c r="Z39" i="48"/>
  <c r="N42" i="48"/>
  <c r="N19" i="48"/>
  <c r="N44" i="48" s="1"/>
  <c r="AF10" i="48"/>
  <c r="AF11" i="48"/>
  <c r="AF12" i="48"/>
  <c r="AF13" i="48"/>
  <c r="F31" i="48"/>
  <c r="F40" i="48" s="1"/>
  <c r="F44" i="48" s="1"/>
  <c r="AD35" i="48"/>
  <c r="AC35" i="48" s="1"/>
  <c r="AE35" i="48" s="1"/>
  <c r="AF35" i="48" s="1"/>
  <c r="AD37" i="48"/>
  <c r="AC37" i="48" s="1"/>
  <c r="AE37" i="48" s="1"/>
  <c r="AF37" i="48" s="1"/>
  <c r="P39" i="48"/>
  <c r="J50" i="48"/>
  <c r="K57" i="48"/>
  <c r="K60" i="48" s="1"/>
  <c r="K62" i="48" s="1"/>
  <c r="AF14" i="48"/>
  <c r="AD36" i="48"/>
  <c r="AC36" i="48" s="1"/>
  <c r="AD38" i="48"/>
  <c r="AC38" i="48" s="1"/>
  <c r="I40" i="48"/>
  <c r="L51" i="48"/>
  <c r="X51" i="48" s="1"/>
  <c r="W51" i="48" s="1"/>
  <c r="AF16" i="48"/>
  <c r="AF17" i="48"/>
  <c r="S19" i="48"/>
  <c r="AE36" i="48"/>
  <c r="AF36" i="48" s="1"/>
  <c r="AE38" i="48"/>
  <c r="AF38" i="48" s="1"/>
  <c r="R39" i="48"/>
  <c r="X39" i="48" s="1"/>
  <c r="J40" i="48"/>
  <c r="J44" i="48" s="1"/>
  <c r="X49" i="48"/>
  <c r="W49" i="48" s="1"/>
  <c r="J67" i="48"/>
  <c r="X9" i="48"/>
  <c r="W9" i="48" s="1"/>
  <c r="K40" i="48"/>
  <c r="M50" i="48"/>
  <c r="M52" i="48" s="1"/>
  <c r="K67" i="48"/>
  <c r="AA7" i="48"/>
  <c r="E18" i="48"/>
  <c r="T18" i="48"/>
  <c r="U19" i="48"/>
  <c r="T22" i="48"/>
  <c r="I24" i="48"/>
  <c r="I58" i="48" s="1"/>
  <c r="X31" i="48"/>
  <c r="W31" i="48" s="1"/>
  <c r="AE31" i="48" s="1"/>
  <c r="AF31" i="48" s="1"/>
  <c r="X33" i="48"/>
  <c r="W33" i="48" s="1"/>
  <c r="AE33" i="48" s="1"/>
  <c r="AF33" i="48" s="1"/>
  <c r="L40" i="48"/>
  <c r="L44" i="48" s="1"/>
  <c r="J42" i="48"/>
  <c r="J43" i="48" s="1"/>
  <c r="Z49" i="48"/>
  <c r="N50" i="48"/>
  <c r="N52" i="48" s="1"/>
  <c r="AB51" i="48"/>
  <c r="Z9" i="48"/>
  <c r="Y9" i="48" s="1"/>
  <c r="I18" i="48"/>
  <c r="I42" i="48" s="1"/>
  <c r="U39" i="48"/>
  <c r="O50" i="48"/>
  <c r="O52" i="48" s="1"/>
  <c r="AB50" i="48"/>
  <c r="Y5" i="48"/>
  <c r="AA9" i="48"/>
  <c r="Y13" i="48"/>
  <c r="K19" i="48"/>
  <c r="X32" i="48"/>
  <c r="W32" i="48" s="1"/>
  <c r="AE32" i="48" s="1"/>
  <c r="AF32" i="48" s="1"/>
  <c r="X34" i="48"/>
  <c r="W34" i="48" s="1"/>
  <c r="AE34" i="48" s="1"/>
  <c r="AF34" i="48" s="1"/>
  <c r="M18" i="48"/>
  <c r="M19" i="48" s="1"/>
  <c r="U26" i="48"/>
  <c r="Z15" i="48"/>
  <c r="Z16" i="48"/>
  <c r="AB72" i="36"/>
  <c r="AB74" i="36"/>
  <c r="AA73" i="36"/>
  <c r="Z73" i="36"/>
  <c r="Y74" i="36"/>
  <c r="W72" i="36"/>
  <c r="AA72" i="36"/>
  <c r="AA74" i="36"/>
  <c r="Z72" i="36"/>
  <c r="W73" i="36"/>
  <c r="Y73" i="36"/>
  <c r="V72" i="36"/>
  <c r="Y72" i="36"/>
  <c r="V73" i="36"/>
  <c r="V74" i="36"/>
  <c r="W74" i="36"/>
  <c r="L10" i="46"/>
  <c r="V67" i="36" l="1"/>
  <c r="AB52" i="48"/>
  <c r="AA52" i="48" s="1"/>
  <c r="K64" i="48"/>
  <c r="T65" i="48" s="1"/>
  <c r="T63" i="48"/>
  <c r="W39" i="48"/>
  <c r="AD49" i="48"/>
  <c r="AC49" i="48" s="1"/>
  <c r="Y49" i="48"/>
  <c r="AD39" i="48"/>
  <c r="Z42" i="48"/>
  <c r="Y42" i="48" s="1"/>
  <c r="Y39" i="48"/>
  <c r="U67" i="48"/>
  <c r="U42" i="48"/>
  <c r="U40" i="48"/>
  <c r="U44" i="48" s="1"/>
  <c r="K44" i="48"/>
  <c r="I26" i="48"/>
  <c r="M45" i="48"/>
  <c r="I60" i="48"/>
  <c r="I62" i="48" s="1"/>
  <c r="M42" i="48"/>
  <c r="M43" i="48" s="1"/>
  <c r="Y15" i="48"/>
  <c r="AD15" i="48"/>
  <c r="AC15" i="48" s="1"/>
  <c r="Z51" i="48"/>
  <c r="Y51" i="48" s="1"/>
  <c r="U68" i="48"/>
  <c r="AA50" i="48"/>
  <c r="L52" i="48"/>
  <c r="U60" i="48"/>
  <c r="U62" i="48" s="1"/>
  <c r="U64" i="48" s="1"/>
  <c r="AD9" i="48"/>
  <c r="AC9" i="48" s="1"/>
  <c r="Y16" i="48"/>
  <c r="AD16" i="48"/>
  <c r="AC16" i="48" s="1"/>
  <c r="T26" i="48"/>
  <c r="T56" i="48"/>
  <c r="T60" i="48" s="1"/>
  <c r="T62" i="48" s="1"/>
  <c r="T64" i="48" s="1"/>
  <c r="J45" i="48"/>
  <c r="T68" i="48"/>
  <c r="T19" i="48"/>
  <c r="T44" i="48" s="1"/>
  <c r="X18" i="48"/>
  <c r="W18" i="48" s="1"/>
  <c r="J56" i="48"/>
  <c r="J60" i="48" s="1"/>
  <c r="J62" i="48" s="1"/>
  <c r="J64" i="48" s="1"/>
  <c r="J52" i="48"/>
  <c r="Z50" i="48"/>
  <c r="Y50" i="48" s="1"/>
  <c r="X50" i="48"/>
  <c r="W50" i="48" s="1"/>
  <c r="AA51" i="48"/>
  <c r="P42" i="48"/>
  <c r="P40" i="48"/>
  <c r="P44" i="48" s="1"/>
  <c r="R40" i="48"/>
  <c r="R44" i="48" s="1"/>
  <c r="R42" i="48"/>
  <c r="I27" i="48"/>
  <c r="I19" i="48"/>
  <c r="I44" i="48" s="1"/>
  <c r="T42" i="48"/>
  <c r="S44" i="48"/>
  <c r="U323" i="36"/>
  <c r="G321" i="36"/>
  <c r="G302" i="36"/>
  <c r="S43" i="48" l="1"/>
  <c r="Z52" i="48"/>
  <c r="X52" i="48"/>
  <c r="AD42" i="48"/>
  <c r="AC42" i="48" s="1"/>
  <c r="AC39" i="48"/>
  <c r="P45" i="48"/>
  <c r="P43" i="48"/>
  <c r="S45" i="48"/>
  <c r="AD51" i="48"/>
  <c r="AC51" i="48" s="1"/>
  <c r="I64" i="48"/>
  <c r="J65" i="48" s="1"/>
  <c r="J63" i="48"/>
  <c r="X42" i="48"/>
  <c r="W42" i="48" s="1"/>
  <c r="AD50" i="48"/>
  <c r="AC50" i="48" s="1"/>
  <c r="T323" i="36"/>
  <c r="D50" i="48" l="1"/>
  <c r="W52" i="48"/>
  <c r="C50" i="48" s="1"/>
  <c r="Y52" i="48"/>
  <c r="C51" i="48" s="1"/>
  <c r="D51" i="48"/>
  <c r="AD52" i="48"/>
  <c r="AC52" i="48" s="1"/>
  <c r="Q26" i="46" l="1"/>
  <c r="R26" i="46"/>
  <c r="S26" i="46"/>
  <c r="R24" i="46" l="1"/>
  <c r="Q15" i="46"/>
  <c r="R15" i="46"/>
  <c r="S15" i="46"/>
  <c r="R16" i="46"/>
  <c r="S16" i="46"/>
  <c r="S14" i="46"/>
  <c r="S13" i="46"/>
  <c r="R13" i="46"/>
  <c r="R8" i="46"/>
  <c r="Q9" i="46"/>
  <c r="AK29" i="32" l="1"/>
  <c r="AD29" i="32"/>
  <c r="AC29" i="32"/>
  <c r="AB29" i="32"/>
  <c r="AL38" i="32"/>
  <c r="AK38" i="32"/>
  <c r="U337" i="36"/>
  <c r="T337" i="36"/>
  <c r="L337" i="36"/>
  <c r="S337" i="36"/>
  <c r="P337" i="36"/>
  <c r="N337" i="36"/>
  <c r="Q13" i="46"/>
  <c r="N14" i="46"/>
  <c r="N17" i="46" s="1"/>
  <c r="N19" i="46" s="1"/>
  <c r="O9" i="46"/>
  <c r="Q240" i="36" s="1"/>
  <c r="O10" i="46"/>
  <c r="W17" i="36"/>
  <c r="W31" i="36" s="1"/>
  <c r="W210" i="36" s="1"/>
  <c r="AD38" i="32"/>
  <c r="AC38" i="32"/>
  <c r="AB38" i="32"/>
  <c r="AD34" i="32"/>
  <c r="AC34" i="32"/>
  <c r="AB34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I34" i="32"/>
  <c r="U317" i="36"/>
  <c r="T317" i="36"/>
  <c r="S317" i="36"/>
  <c r="R317" i="36"/>
  <c r="Q317" i="36"/>
  <c r="P317" i="36"/>
  <c r="AA317" i="36" s="1"/>
  <c r="O317" i="36"/>
  <c r="N317" i="36"/>
  <c r="M317" i="36"/>
  <c r="L317" i="36"/>
  <c r="K317" i="36"/>
  <c r="J317" i="36"/>
  <c r="T316" i="36"/>
  <c r="S316" i="36"/>
  <c r="R316" i="36"/>
  <c r="Q316" i="36"/>
  <c r="P316" i="36"/>
  <c r="O316" i="36"/>
  <c r="N316" i="36"/>
  <c r="M316" i="36"/>
  <c r="Z316" i="36" s="1"/>
  <c r="L316" i="36"/>
  <c r="K316" i="36"/>
  <c r="K314" i="36" s="1"/>
  <c r="J316" i="36"/>
  <c r="U315" i="36"/>
  <c r="U314" i="36" s="1"/>
  <c r="T315" i="36"/>
  <c r="S315" i="36"/>
  <c r="R315" i="36"/>
  <c r="Q315" i="36"/>
  <c r="P315" i="36"/>
  <c r="O315" i="36"/>
  <c r="N315" i="36"/>
  <c r="M315" i="36"/>
  <c r="L315" i="36"/>
  <c r="K315" i="36"/>
  <c r="J315" i="36"/>
  <c r="T313" i="36"/>
  <c r="S313" i="36"/>
  <c r="R313" i="36"/>
  <c r="Q313" i="36"/>
  <c r="P313" i="36"/>
  <c r="O313" i="36"/>
  <c r="Z313" i="36" s="1"/>
  <c r="N313" i="36"/>
  <c r="M313" i="36"/>
  <c r="L313" i="36"/>
  <c r="K313" i="36"/>
  <c r="J313" i="36"/>
  <c r="T312" i="36"/>
  <c r="S312" i="36"/>
  <c r="S310" i="36" s="1"/>
  <c r="R312" i="36"/>
  <c r="AA312" i="36" s="1"/>
  <c r="Q312" i="36"/>
  <c r="P312" i="36"/>
  <c r="O312" i="36"/>
  <c r="N312" i="36"/>
  <c r="M312" i="36"/>
  <c r="Z312" i="36" s="1"/>
  <c r="L312" i="36"/>
  <c r="K312" i="36"/>
  <c r="K310" i="36" s="1"/>
  <c r="J312" i="36"/>
  <c r="T311" i="36"/>
  <c r="S311" i="36"/>
  <c r="R311" i="36"/>
  <c r="Q311" i="36"/>
  <c r="P311" i="36"/>
  <c r="O311" i="36"/>
  <c r="N311" i="36"/>
  <c r="N310" i="36" s="1"/>
  <c r="M311" i="36"/>
  <c r="L311" i="36"/>
  <c r="K311" i="36"/>
  <c r="T309" i="36"/>
  <c r="S309" i="36"/>
  <c r="R309" i="36"/>
  <c r="Q309" i="36"/>
  <c r="P309" i="36"/>
  <c r="O309" i="36"/>
  <c r="Z309" i="36" s="1"/>
  <c r="N309" i="36"/>
  <c r="M309" i="36"/>
  <c r="L309" i="36"/>
  <c r="K309" i="36"/>
  <c r="J309" i="36"/>
  <c r="T308" i="36"/>
  <c r="T306" i="36" s="1"/>
  <c r="S308" i="36"/>
  <c r="S306" i="36" s="1"/>
  <c r="R308" i="36"/>
  <c r="AA308" i="36" s="1"/>
  <c r="Q308" i="36"/>
  <c r="P308" i="36"/>
  <c r="O308" i="36"/>
  <c r="N308" i="36"/>
  <c r="M308" i="36"/>
  <c r="L308" i="36"/>
  <c r="K308" i="36"/>
  <c r="K306" i="36" s="1"/>
  <c r="J308" i="36"/>
  <c r="T307" i="36"/>
  <c r="S307" i="36"/>
  <c r="R307" i="36"/>
  <c r="Q307" i="36"/>
  <c r="P307" i="36"/>
  <c r="O307" i="36"/>
  <c r="N307" i="36"/>
  <c r="N306" i="36" s="1"/>
  <c r="M307" i="36"/>
  <c r="L307" i="36"/>
  <c r="K307" i="36"/>
  <c r="J307" i="36"/>
  <c r="J311" i="36"/>
  <c r="U313" i="36"/>
  <c r="AB313" i="36" s="1"/>
  <c r="U311" i="36"/>
  <c r="U309" i="36"/>
  <c r="AB309" i="36" s="1"/>
  <c r="U307" i="36"/>
  <c r="AB307" i="36" s="1"/>
  <c r="AB323" i="36"/>
  <c r="U304" i="36"/>
  <c r="U316" i="36"/>
  <c r="U303" i="36"/>
  <c r="U302" i="36"/>
  <c r="U312" i="36" s="1"/>
  <c r="V322" i="36"/>
  <c r="AA323" i="36"/>
  <c r="Z323" i="36"/>
  <c r="Y323" i="36"/>
  <c r="W323" i="36"/>
  <c r="AA322" i="36"/>
  <c r="Z322" i="36"/>
  <c r="Y322" i="36"/>
  <c r="W322" i="36"/>
  <c r="AA321" i="36"/>
  <c r="Z321" i="36"/>
  <c r="Y321" i="36"/>
  <c r="W321" i="36"/>
  <c r="U298" i="36"/>
  <c r="T298" i="36"/>
  <c r="S298" i="36"/>
  <c r="R298" i="36"/>
  <c r="Q298" i="36"/>
  <c r="P298" i="36"/>
  <c r="O298" i="36"/>
  <c r="N298" i="36"/>
  <c r="M298" i="36"/>
  <c r="L298" i="36"/>
  <c r="K298" i="36"/>
  <c r="J298" i="36"/>
  <c r="U296" i="36"/>
  <c r="T296" i="36"/>
  <c r="S296" i="36"/>
  <c r="R296" i="36"/>
  <c r="Q296" i="36"/>
  <c r="P296" i="36"/>
  <c r="O296" i="36"/>
  <c r="N296" i="36"/>
  <c r="M296" i="36"/>
  <c r="L296" i="36"/>
  <c r="K296" i="36"/>
  <c r="J296" i="36"/>
  <c r="Y296" i="36" s="1"/>
  <c r="U294" i="36"/>
  <c r="T294" i="36"/>
  <c r="S294" i="36"/>
  <c r="R294" i="36"/>
  <c r="Q294" i="36"/>
  <c r="P294" i="36"/>
  <c r="O294" i="36"/>
  <c r="N294" i="36"/>
  <c r="M294" i="36"/>
  <c r="L294" i="36"/>
  <c r="K294" i="36"/>
  <c r="J294" i="36"/>
  <c r="U292" i="36"/>
  <c r="T292" i="36"/>
  <c r="S292" i="36"/>
  <c r="R292" i="36"/>
  <c r="Q292" i="36"/>
  <c r="P292" i="36"/>
  <c r="O292" i="36"/>
  <c r="N292" i="36"/>
  <c r="M292" i="36"/>
  <c r="L292" i="36"/>
  <c r="K292" i="36"/>
  <c r="J292" i="36"/>
  <c r="Y292" i="36" s="1"/>
  <c r="K226" i="36"/>
  <c r="L226" i="36"/>
  <c r="M226" i="36"/>
  <c r="N226" i="36"/>
  <c r="O226" i="36"/>
  <c r="P226" i="36"/>
  <c r="Q226" i="36"/>
  <c r="R226" i="36"/>
  <c r="S226" i="36"/>
  <c r="T226" i="36"/>
  <c r="U226" i="36"/>
  <c r="K227" i="36"/>
  <c r="L227" i="36"/>
  <c r="M227" i="36"/>
  <c r="N227" i="36"/>
  <c r="O227" i="36"/>
  <c r="P227" i="36"/>
  <c r="Q227" i="36"/>
  <c r="R227" i="36"/>
  <c r="S227" i="36"/>
  <c r="T227" i="36"/>
  <c r="U227" i="36"/>
  <c r="K228" i="36"/>
  <c r="L228" i="36"/>
  <c r="M228" i="36"/>
  <c r="N228" i="36"/>
  <c r="O228" i="36"/>
  <c r="P228" i="36"/>
  <c r="Q228" i="36"/>
  <c r="R228" i="36"/>
  <c r="S228" i="36"/>
  <c r="T228" i="36"/>
  <c r="U228" i="36"/>
  <c r="K229" i="36"/>
  <c r="K266" i="36" s="1"/>
  <c r="K214" i="36" s="1"/>
  <c r="L229" i="36"/>
  <c r="L266" i="36" s="1"/>
  <c r="L214" i="36" s="1"/>
  <c r="M229" i="36"/>
  <c r="N229" i="36"/>
  <c r="O229" i="36"/>
  <c r="P229" i="36"/>
  <c r="Q229" i="36"/>
  <c r="Q266" i="36" s="1"/>
  <c r="R229" i="36"/>
  <c r="R266" i="36" s="1"/>
  <c r="S229" i="36"/>
  <c r="S266" i="36" s="1"/>
  <c r="S214" i="36" s="1"/>
  <c r="T229" i="36"/>
  <c r="T266" i="36" s="1"/>
  <c r="T214" i="36" s="1"/>
  <c r="U229" i="36"/>
  <c r="U266" i="36" s="1"/>
  <c r="K230" i="36"/>
  <c r="K270" i="36" s="1"/>
  <c r="K218" i="36" s="1"/>
  <c r="L230" i="36"/>
  <c r="M230" i="36"/>
  <c r="N230" i="36"/>
  <c r="O230" i="36"/>
  <c r="O270" i="36" s="1"/>
  <c r="P230" i="36"/>
  <c r="P270" i="36" s="1"/>
  <c r="Q230" i="36"/>
  <c r="Q270" i="36" s="1"/>
  <c r="Q218" i="36" s="1"/>
  <c r="R230" i="36"/>
  <c r="R270" i="36" s="1"/>
  <c r="S230" i="36"/>
  <c r="S270" i="36" s="1"/>
  <c r="S218" i="36" s="1"/>
  <c r="T230" i="36"/>
  <c r="U230" i="36"/>
  <c r="K231" i="36"/>
  <c r="M231" i="36"/>
  <c r="M274" i="36" s="1"/>
  <c r="N231" i="36"/>
  <c r="N274" i="36" s="1"/>
  <c r="O231" i="36"/>
  <c r="O274" i="36" s="1"/>
  <c r="O222" i="36" s="1"/>
  <c r="P231" i="36"/>
  <c r="P274" i="36" s="1"/>
  <c r="P222" i="36" s="1"/>
  <c r="Q231" i="36"/>
  <c r="Q274" i="36" s="1"/>
  <c r="Q222" i="36" s="1"/>
  <c r="R231" i="36"/>
  <c r="S231" i="36"/>
  <c r="T231" i="36"/>
  <c r="T274" i="36" s="1"/>
  <c r="T222" i="36" s="1"/>
  <c r="U231" i="36"/>
  <c r="U274" i="36" s="1"/>
  <c r="K232" i="36"/>
  <c r="L232" i="36"/>
  <c r="M232" i="36"/>
  <c r="N232" i="36"/>
  <c r="O232" i="36"/>
  <c r="P232" i="36"/>
  <c r="Q232" i="36"/>
  <c r="R232" i="36"/>
  <c r="S232" i="36"/>
  <c r="T232" i="36"/>
  <c r="U232" i="36"/>
  <c r="K233" i="36"/>
  <c r="L233" i="36"/>
  <c r="M233" i="36"/>
  <c r="N233" i="36"/>
  <c r="O233" i="36"/>
  <c r="P233" i="36"/>
  <c r="Q233" i="36"/>
  <c r="R233" i="36"/>
  <c r="S233" i="36"/>
  <c r="AB233" i="36" s="1"/>
  <c r="T233" i="36"/>
  <c r="U233" i="36"/>
  <c r="K234" i="36"/>
  <c r="M234" i="36"/>
  <c r="N234" i="36"/>
  <c r="O234" i="36"/>
  <c r="P234" i="36"/>
  <c r="Q234" i="36"/>
  <c r="R234" i="36"/>
  <c r="S234" i="36"/>
  <c r="T234" i="36"/>
  <c r="U234" i="36"/>
  <c r="K235" i="36"/>
  <c r="L235" i="36"/>
  <c r="M235" i="36"/>
  <c r="N235" i="36"/>
  <c r="O235" i="36"/>
  <c r="P235" i="36"/>
  <c r="Q235" i="36"/>
  <c r="R235" i="36"/>
  <c r="S235" i="36"/>
  <c r="T235" i="36"/>
  <c r="U235" i="36"/>
  <c r="K236" i="36"/>
  <c r="L236" i="36"/>
  <c r="M236" i="36"/>
  <c r="N236" i="36"/>
  <c r="O236" i="36"/>
  <c r="P236" i="36"/>
  <c r="Q236" i="36"/>
  <c r="R236" i="36"/>
  <c r="S236" i="36"/>
  <c r="AB236" i="36" s="1"/>
  <c r="T236" i="36"/>
  <c r="U236" i="36"/>
  <c r="K237" i="36"/>
  <c r="N237" i="36"/>
  <c r="O237" i="36"/>
  <c r="P237" i="36"/>
  <c r="Q237" i="36"/>
  <c r="R237" i="36"/>
  <c r="S237" i="36"/>
  <c r="T237" i="36"/>
  <c r="U237" i="36"/>
  <c r="K238" i="36"/>
  <c r="L238" i="36"/>
  <c r="M238" i="36"/>
  <c r="N238" i="36"/>
  <c r="O238" i="36"/>
  <c r="P238" i="36"/>
  <c r="Q238" i="36"/>
  <c r="R238" i="36"/>
  <c r="S238" i="36"/>
  <c r="T238" i="36"/>
  <c r="U238" i="36"/>
  <c r="K239" i="36"/>
  <c r="L239" i="36"/>
  <c r="M239" i="36"/>
  <c r="N239" i="36"/>
  <c r="O239" i="36"/>
  <c r="P239" i="36"/>
  <c r="Q239" i="36"/>
  <c r="R239" i="36"/>
  <c r="S239" i="36"/>
  <c r="T239" i="36"/>
  <c r="U239" i="36"/>
  <c r="K240" i="36"/>
  <c r="L240" i="36"/>
  <c r="M240" i="36"/>
  <c r="N240" i="36"/>
  <c r="P240" i="36"/>
  <c r="R240" i="36"/>
  <c r="S240" i="36"/>
  <c r="T240" i="36"/>
  <c r="U240" i="36"/>
  <c r="K241" i="36"/>
  <c r="L241" i="36"/>
  <c r="M241" i="36"/>
  <c r="N241" i="36"/>
  <c r="O241" i="36"/>
  <c r="P241" i="36"/>
  <c r="AA241" i="36" s="1"/>
  <c r="Q241" i="36"/>
  <c r="R241" i="36"/>
  <c r="S241" i="36"/>
  <c r="T241" i="36"/>
  <c r="U241" i="36"/>
  <c r="K242" i="36"/>
  <c r="L242" i="36"/>
  <c r="M242" i="36"/>
  <c r="N242" i="36"/>
  <c r="O242" i="36"/>
  <c r="P242" i="36"/>
  <c r="Q242" i="36"/>
  <c r="R242" i="36"/>
  <c r="S242" i="36"/>
  <c r="T242" i="36"/>
  <c r="U242" i="36"/>
  <c r="K243" i="36"/>
  <c r="L243" i="36"/>
  <c r="M243" i="36"/>
  <c r="O243" i="36"/>
  <c r="P243" i="36"/>
  <c r="Q243" i="36"/>
  <c r="R243" i="36"/>
  <c r="S243" i="36"/>
  <c r="AB243" i="36" s="1"/>
  <c r="T243" i="36"/>
  <c r="U243" i="36"/>
  <c r="K244" i="36"/>
  <c r="L244" i="36"/>
  <c r="M244" i="36"/>
  <c r="N244" i="36"/>
  <c r="O244" i="36"/>
  <c r="P244" i="36"/>
  <c r="Q244" i="36"/>
  <c r="R244" i="36"/>
  <c r="S244" i="36"/>
  <c r="T244" i="36"/>
  <c r="U244" i="36"/>
  <c r="K245" i="36"/>
  <c r="L245" i="36"/>
  <c r="M245" i="36"/>
  <c r="Z245" i="36" s="1"/>
  <c r="N245" i="36"/>
  <c r="O245" i="36"/>
  <c r="P245" i="36"/>
  <c r="Q245" i="36"/>
  <c r="R245" i="36"/>
  <c r="S245" i="36"/>
  <c r="T245" i="36"/>
  <c r="U245" i="36"/>
  <c r="K246" i="36"/>
  <c r="L246" i="36"/>
  <c r="N246" i="36"/>
  <c r="O246" i="36"/>
  <c r="P246" i="36"/>
  <c r="Q246" i="36"/>
  <c r="R246" i="36"/>
  <c r="S246" i="36"/>
  <c r="T246" i="36"/>
  <c r="U246" i="36"/>
  <c r="K247" i="36"/>
  <c r="L247" i="36"/>
  <c r="M247" i="36"/>
  <c r="N247" i="36"/>
  <c r="O247" i="36"/>
  <c r="P247" i="36"/>
  <c r="AA247" i="36" s="1"/>
  <c r="Q247" i="36"/>
  <c r="R247" i="36"/>
  <c r="S247" i="36"/>
  <c r="T247" i="36"/>
  <c r="U247" i="36"/>
  <c r="K248" i="36"/>
  <c r="L248" i="36"/>
  <c r="M248" i="36"/>
  <c r="Z248" i="36" s="1"/>
  <c r="N248" i="36"/>
  <c r="O248" i="36"/>
  <c r="P248" i="36"/>
  <c r="Q248" i="36"/>
  <c r="R248" i="36"/>
  <c r="S248" i="36"/>
  <c r="T248" i="36"/>
  <c r="U248" i="36"/>
  <c r="K249" i="36"/>
  <c r="L249" i="36"/>
  <c r="N249" i="36"/>
  <c r="O249" i="36"/>
  <c r="P249" i="36"/>
  <c r="Q249" i="36"/>
  <c r="R249" i="36"/>
  <c r="S249" i="36"/>
  <c r="AB249" i="36" s="1"/>
  <c r="T249" i="36"/>
  <c r="U249" i="36"/>
  <c r="K250" i="36"/>
  <c r="L250" i="36"/>
  <c r="M250" i="36"/>
  <c r="N250" i="36"/>
  <c r="O250" i="36"/>
  <c r="P250" i="36"/>
  <c r="AA250" i="36" s="1"/>
  <c r="Q250" i="36"/>
  <c r="R250" i="36"/>
  <c r="S250" i="36"/>
  <c r="T250" i="36"/>
  <c r="U250" i="36"/>
  <c r="K251" i="36"/>
  <c r="L251" i="36"/>
  <c r="M251" i="36"/>
  <c r="Z251" i="36" s="1"/>
  <c r="N251" i="36"/>
  <c r="O251" i="36"/>
  <c r="P251" i="36"/>
  <c r="Q251" i="36"/>
  <c r="R251" i="36"/>
  <c r="S251" i="36"/>
  <c r="T251" i="36"/>
  <c r="U251" i="36"/>
  <c r="K252" i="36"/>
  <c r="L252" i="36"/>
  <c r="M252" i="36"/>
  <c r="N252" i="36"/>
  <c r="O252" i="36"/>
  <c r="P252" i="36"/>
  <c r="Q252" i="36"/>
  <c r="K253" i="36"/>
  <c r="L253" i="36"/>
  <c r="L264" i="36" s="1"/>
  <c r="L212" i="36" s="1"/>
  <c r="M253" i="36"/>
  <c r="M264" i="36" s="1"/>
  <c r="N253" i="36"/>
  <c r="O253" i="36"/>
  <c r="P253" i="36"/>
  <c r="Q253" i="36"/>
  <c r="AA253" i="36" s="1"/>
  <c r="R253" i="36"/>
  <c r="R264" i="36" s="1"/>
  <c r="R212" i="36" s="1"/>
  <c r="S253" i="36"/>
  <c r="S264" i="36" s="1"/>
  <c r="S212" i="36" s="1"/>
  <c r="T253" i="36"/>
  <c r="U253" i="36"/>
  <c r="U264" i="36" s="1"/>
  <c r="K254" i="36"/>
  <c r="K268" i="36" s="1"/>
  <c r="K216" i="36" s="1"/>
  <c r="L254" i="36"/>
  <c r="L268" i="36" s="1"/>
  <c r="L216" i="36" s="1"/>
  <c r="M254" i="36"/>
  <c r="N254" i="36"/>
  <c r="Z254" i="36" s="1"/>
  <c r="O254" i="36"/>
  <c r="O268" i="36" s="1"/>
  <c r="P254" i="36"/>
  <c r="Q254" i="36"/>
  <c r="R254" i="36"/>
  <c r="R268" i="36" s="1"/>
  <c r="R216" i="36" s="1"/>
  <c r="S254" i="36"/>
  <c r="S268" i="36" s="1"/>
  <c r="S216" i="36" s="1"/>
  <c r="T254" i="36"/>
  <c r="T268" i="36" s="1"/>
  <c r="T216" i="36" s="1"/>
  <c r="U254" i="36"/>
  <c r="K255" i="36"/>
  <c r="L255" i="36"/>
  <c r="M255" i="36"/>
  <c r="N255" i="36"/>
  <c r="N272" i="36" s="1"/>
  <c r="O255" i="36"/>
  <c r="O272" i="36" s="1"/>
  <c r="P255" i="36"/>
  <c r="P272" i="36" s="1"/>
  <c r="P220" i="36" s="1"/>
  <c r="Q255" i="36"/>
  <c r="Q272" i="36" s="1"/>
  <c r="R255" i="36"/>
  <c r="S255" i="36"/>
  <c r="S272" i="36" s="1"/>
  <c r="S220" i="36" s="1"/>
  <c r="T255" i="36"/>
  <c r="T272" i="36" s="1"/>
  <c r="U255" i="36"/>
  <c r="U272" i="36" s="1"/>
  <c r="K256" i="36"/>
  <c r="L256" i="36"/>
  <c r="M256" i="36"/>
  <c r="N256" i="36"/>
  <c r="O256" i="36"/>
  <c r="P256" i="36"/>
  <c r="Q256" i="36"/>
  <c r="R256" i="36"/>
  <c r="S256" i="36"/>
  <c r="T256" i="36"/>
  <c r="U256" i="36"/>
  <c r="K257" i="36"/>
  <c r="L257" i="36"/>
  <c r="M257" i="36"/>
  <c r="N257" i="36"/>
  <c r="O257" i="36"/>
  <c r="P257" i="36"/>
  <c r="Q257" i="36"/>
  <c r="R257" i="36"/>
  <c r="S257" i="36"/>
  <c r="T257" i="36"/>
  <c r="U257" i="36"/>
  <c r="K258" i="36"/>
  <c r="L258" i="36"/>
  <c r="M258" i="36"/>
  <c r="N258" i="36"/>
  <c r="O258" i="36"/>
  <c r="P258" i="36"/>
  <c r="Q258" i="36"/>
  <c r="K259" i="36"/>
  <c r="L259" i="36"/>
  <c r="M259" i="36"/>
  <c r="N259" i="36"/>
  <c r="O259" i="36"/>
  <c r="P259" i="36"/>
  <c r="Q259" i="36"/>
  <c r="R259" i="36"/>
  <c r="S259" i="36"/>
  <c r="T259" i="36"/>
  <c r="U259" i="36"/>
  <c r="K260" i="36"/>
  <c r="L260" i="36"/>
  <c r="M260" i="36"/>
  <c r="N260" i="36"/>
  <c r="O260" i="36"/>
  <c r="P260" i="36"/>
  <c r="Q260" i="36"/>
  <c r="R260" i="36"/>
  <c r="S260" i="36"/>
  <c r="T260" i="36"/>
  <c r="U260" i="36"/>
  <c r="K261" i="36"/>
  <c r="L261" i="36"/>
  <c r="M261" i="36"/>
  <c r="N261" i="36"/>
  <c r="O261" i="36"/>
  <c r="P261" i="36"/>
  <c r="Q261" i="36"/>
  <c r="R261" i="36"/>
  <c r="S261" i="36"/>
  <c r="J261" i="36"/>
  <c r="J258" i="36"/>
  <c r="J255" i="36"/>
  <c r="J272" i="36" s="1"/>
  <c r="J252" i="36"/>
  <c r="J249" i="36"/>
  <c r="J246" i="36"/>
  <c r="J243" i="36"/>
  <c r="J240" i="36"/>
  <c r="J237" i="36"/>
  <c r="J231" i="36"/>
  <c r="J274" i="36" s="1"/>
  <c r="J222" i="36" s="1"/>
  <c r="K277" i="36"/>
  <c r="L277" i="36"/>
  <c r="Y277" i="36" s="1"/>
  <c r="M277" i="36"/>
  <c r="N277" i="36"/>
  <c r="O277" i="36"/>
  <c r="P277" i="36"/>
  <c r="Q277" i="36"/>
  <c r="R277" i="36"/>
  <c r="S277" i="36"/>
  <c r="T277" i="36"/>
  <c r="U277" i="36"/>
  <c r="K278" i="36"/>
  <c r="L278" i="36"/>
  <c r="M278" i="36"/>
  <c r="N278" i="36"/>
  <c r="O278" i="36"/>
  <c r="P278" i="36"/>
  <c r="Q278" i="36"/>
  <c r="AA278" i="36" s="1"/>
  <c r="R278" i="36"/>
  <c r="S278" i="36"/>
  <c r="T278" i="36"/>
  <c r="U278" i="36"/>
  <c r="K280" i="36"/>
  <c r="L280" i="36"/>
  <c r="M280" i="36"/>
  <c r="N280" i="36"/>
  <c r="O280" i="36"/>
  <c r="P280" i="36"/>
  <c r="Q280" i="36"/>
  <c r="R280" i="36"/>
  <c r="S280" i="36"/>
  <c r="T280" i="36"/>
  <c r="U280" i="36"/>
  <c r="K281" i="36"/>
  <c r="L281" i="36"/>
  <c r="M281" i="36"/>
  <c r="N281" i="36"/>
  <c r="O281" i="36"/>
  <c r="P281" i="36"/>
  <c r="Q281" i="36"/>
  <c r="R281" i="36"/>
  <c r="S281" i="36"/>
  <c r="T281" i="36"/>
  <c r="U281" i="36"/>
  <c r="K282" i="36"/>
  <c r="L282" i="36"/>
  <c r="M282" i="36"/>
  <c r="N282" i="36"/>
  <c r="O282" i="36"/>
  <c r="P282" i="36"/>
  <c r="Q282" i="36"/>
  <c r="R282" i="36"/>
  <c r="S282" i="36"/>
  <c r="T282" i="36"/>
  <c r="U282" i="36"/>
  <c r="K283" i="36"/>
  <c r="L283" i="36"/>
  <c r="M283" i="36"/>
  <c r="N283" i="36"/>
  <c r="O283" i="36"/>
  <c r="P283" i="36"/>
  <c r="Q283" i="36"/>
  <c r="R283" i="36"/>
  <c r="S283" i="36"/>
  <c r="T283" i="36"/>
  <c r="U283" i="36"/>
  <c r="K284" i="36"/>
  <c r="L284" i="36"/>
  <c r="M284" i="36"/>
  <c r="N284" i="36"/>
  <c r="O284" i="36"/>
  <c r="P284" i="36"/>
  <c r="Q284" i="36"/>
  <c r="R284" i="36"/>
  <c r="S284" i="36"/>
  <c r="T284" i="36"/>
  <c r="U284" i="36"/>
  <c r="K285" i="36"/>
  <c r="L285" i="36"/>
  <c r="M285" i="36"/>
  <c r="N285" i="36"/>
  <c r="O285" i="36"/>
  <c r="P285" i="36"/>
  <c r="Q285" i="36"/>
  <c r="R285" i="36"/>
  <c r="T285" i="36"/>
  <c r="U285" i="36"/>
  <c r="J285" i="36"/>
  <c r="J282" i="36"/>
  <c r="Y282" i="36" s="1"/>
  <c r="Q27" i="46"/>
  <c r="S285" i="36" s="1"/>
  <c r="E26" i="46"/>
  <c r="F26" i="46" s="1"/>
  <c r="R28" i="46"/>
  <c r="S25" i="46"/>
  <c r="E25" i="46"/>
  <c r="F25" i="46" s="1"/>
  <c r="J284" i="36"/>
  <c r="J281" i="36"/>
  <c r="J278" i="36"/>
  <c r="Y278" i="36" s="1"/>
  <c r="G277" i="36"/>
  <c r="G287" i="36" s="1"/>
  <c r="G280" i="36"/>
  <c r="G259" i="36"/>
  <c r="G256" i="36"/>
  <c r="J283" i="36"/>
  <c r="J280" i="36"/>
  <c r="J277" i="36"/>
  <c r="Q17" i="46"/>
  <c r="P17" i="46"/>
  <c r="I17" i="46"/>
  <c r="I19" i="46" s="1"/>
  <c r="G30" i="46"/>
  <c r="O28" i="46"/>
  <c r="N28" i="46"/>
  <c r="M28" i="46"/>
  <c r="L28" i="46"/>
  <c r="K28" i="46"/>
  <c r="J28" i="46"/>
  <c r="I28" i="46"/>
  <c r="H28" i="46"/>
  <c r="P28" i="46"/>
  <c r="E24" i="46"/>
  <c r="F24" i="46" s="1"/>
  <c r="R23" i="46"/>
  <c r="T279" i="36" s="1"/>
  <c r="P23" i="46"/>
  <c r="O23" i="46"/>
  <c r="Q279" i="36" s="1"/>
  <c r="N23" i="46"/>
  <c r="P279" i="36" s="1"/>
  <c r="M23" i="46"/>
  <c r="O279" i="36" s="1"/>
  <c r="L23" i="46"/>
  <c r="N279" i="36" s="1"/>
  <c r="K23" i="46"/>
  <c r="M279" i="36" s="1"/>
  <c r="J23" i="46"/>
  <c r="L279" i="36" s="1"/>
  <c r="I23" i="46"/>
  <c r="K279" i="36" s="1"/>
  <c r="H23" i="46"/>
  <c r="J279" i="36" s="1"/>
  <c r="L26" i="45"/>
  <c r="K26" i="45"/>
  <c r="J26" i="45"/>
  <c r="H26" i="45"/>
  <c r="G26" i="45"/>
  <c r="Q24" i="45"/>
  <c r="Q26" i="45"/>
  <c r="O24" i="45"/>
  <c r="O26" i="45"/>
  <c r="N24" i="45"/>
  <c r="N26" i="45"/>
  <c r="M24" i="45"/>
  <c r="M26" i="45"/>
  <c r="L24" i="45"/>
  <c r="K24" i="45"/>
  <c r="J24" i="45"/>
  <c r="I24" i="45"/>
  <c r="I26" i="45"/>
  <c r="H24" i="45"/>
  <c r="P23" i="45"/>
  <c r="P24" i="45"/>
  <c r="P26" i="45"/>
  <c r="E23" i="45"/>
  <c r="F23" i="45"/>
  <c r="S22" i="45"/>
  <c r="S24" i="45"/>
  <c r="S26" i="45"/>
  <c r="R22" i="45"/>
  <c r="E22" i="45"/>
  <c r="F22" i="45"/>
  <c r="Q22" i="45"/>
  <c r="Q21" i="45"/>
  <c r="Q20" i="45"/>
  <c r="S19" i="45"/>
  <c r="R19" i="45"/>
  <c r="Q19" i="45"/>
  <c r="P19" i="45"/>
  <c r="O19" i="45"/>
  <c r="N19" i="45"/>
  <c r="M19" i="45"/>
  <c r="L19" i="45"/>
  <c r="K19" i="45"/>
  <c r="J19" i="45"/>
  <c r="I19" i="45"/>
  <c r="E19" i="45"/>
  <c r="H19" i="45"/>
  <c r="F24" i="44"/>
  <c r="E24" i="44"/>
  <c r="E26" i="44"/>
  <c r="F16" i="44"/>
  <c r="F19" i="44"/>
  <c r="F22" i="44"/>
  <c r="F23" i="44"/>
  <c r="E23" i="44"/>
  <c r="S26" i="44"/>
  <c r="R26" i="44"/>
  <c r="Q26" i="44"/>
  <c r="P26" i="44"/>
  <c r="O26" i="44"/>
  <c r="N26" i="44"/>
  <c r="M26" i="44"/>
  <c r="L26" i="44"/>
  <c r="K26" i="44"/>
  <c r="J26" i="44"/>
  <c r="I26" i="44"/>
  <c r="H26" i="44"/>
  <c r="G26" i="44"/>
  <c r="P23" i="44"/>
  <c r="P24" i="44"/>
  <c r="Q22" i="44"/>
  <c r="Q24" i="44"/>
  <c r="R22" i="44"/>
  <c r="R24" i="44"/>
  <c r="S22" i="44"/>
  <c r="Q20" i="44"/>
  <c r="Q21" i="44"/>
  <c r="I24" i="44"/>
  <c r="J24" i="44"/>
  <c r="K24" i="44"/>
  <c r="L24" i="44"/>
  <c r="M24" i="44"/>
  <c r="N24" i="44"/>
  <c r="O24" i="44"/>
  <c r="S24" i="44"/>
  <c r="H24" i="44"/>
  <c r="I19" i="44"/>
  <c r="J19" i="44"/>
  <c r="K19" i="44"/>
  <c r="L19" i="44"/>
  <c r="M19" i="44"/>
  <c r="N19" i="44"/>
  <c r="O19" i="44"/>
  <c r="P19" i="44"/>
  <c r="R19" i="44"/>
  <c r="S19" i="44"/>
  <c r="H19" i="44"/>
  <c r="U261" i="36"/>
  <c r="T261" i="36"/>
  <c r="E13" i="46"/>
  <c r="F13" i="46" s="1"/>
  <c r="K12" i="46"/>
  <c r="E12" i="46" s="1"/>
  <c r="F12" i="46" s="1"/>
  <c r="K11" i="46"/>
  <c r="M246" i="36" s="1"/>
  <c r="L17" i="46"/>
  <c r="L19" i="46" s="1"/>
  <c r="M9" i="46"/>
  <c r="O240" i="36" s="1"/>
  <c r="K8" i="46"/>
  <c r="M237" i="36" s="1"/>
  <c r="J8" i="46"/>
  <c r="E8" i="46" s="1"/>
  <c r="F8" i="46" s="1"/>
  <c r="L237" i="36"/>
  <c r="J7" i="46"/>
  <c r="L234" i="36" s="1"/>
  <c r="H7" i="46"/>
  <c r="J6" i="46"/>
  <c r="E6" i="46" s="1"/>
  <c r="F6" i="46" s="1"/>
  <c r="H5" i="46"/>
  <c r="E5" i="46" s="1"/>
  <c r="F5" i="46" s="1"/>
  <c r="J260" i="36"/>
  <c r="J257" i="36"/>
  <c r="J254" i="36"/>
  <c r="J251" i="36"/>
  <c r="J248" i="36"/>
  <c r="J245" i="36"/>
  <c r="J242" i="36"/>
  <c r="J239" i="36"/>
  <c r="J236" i="36"/>
  <c r="Y236" i="36" s="1"/>
  <c r="J233" i="36"/>
  <c r="Y233" i="36" s="1"/>
  <c r="S16" i="45"/>
  <c r="R16" i="45"/>
  <c r="Q16" i="45"/>
  <c r="P16" i="45"/>
  <c r="O16" i="45"/>
  <c r="N16" i="45"/>
  <c r="M16" i="45"/>
  <c r="L16" i="45"/>
  <c r="K16" i="45"/>
  <c r="J16" i="45"/>
  <c r="I16" i="45"/>
  <c r="H16" i="45"/>
  <c r="F16" i="45"/>
  <c r="E16" i="45"/>
  <c r="J230" i="36"/>
  <c r="J270" i="36" s="1"/>
  <c r="J259" i="36"/>
  <c r="F14" i="45"/>
  <c r="J256" i="36"/>
  <c r="J253" i="36"/>
  <c r="J264" i="36" s="1"/>
  <c r="J212" i="36" s="1"/>
  <c r="J250" i="36"/>
  <c r="J247" i="36"/>
  <c r="J244" i="36"/>
  <c r="J241" i="36"/>
  <c r="J238" i="36"/>
  <c r="J235" i="36"/>
  <c r="J232" i="36"/>
  <c r="S15" i="45"/>
  <c r="R15" i="45"/>
  <c r="F15" i="45"/>
  <c r="R14" i="45"/>
  <c r="Q14" i="45"/>
  <c r="P13" i="45"/>
  <c r="O13" i="45"/>
  <c r="F13" i="45"/>
  <c r="N12" i="45"/>
  <c r="F12" i="45"/>
  <c r="L11" i="45"/>
  <c r="H11" i="45"/>
  <c r="F11" i="45"/>
  <c r="L10" i="45"/>
  <c r="F10" i="45"/>
  <c r="N9" i="45"/>
  <c r="M9" i="45"/>
  <c r="L9" i="45"/>
  <c r="K9" i="45"/>
  <c r="F9" i="45"/>
  <c r="N8" i="45"/>
  <c r="M8" i="45"/>
  <c r="F8" i="45"/>
  <c r="L7" i="45"/>
  <c r="K7" i="45"/>
  <c r="J7" i="45"/>
  <c r="F7" i="45"/>
  <c r="J6" i="45"/>
  <c r="H6" i="45"/>
  <c r="F6" i="45"/>
  <c r="J5" i="45"/>
  <c r="I5" i="45"/>
  <c r="F5" i="45"/>
  <c r="H4" i="45"/>
  <c r="J227" i="36"/>
  <c r="F4" i="45"/>
  <c r="J229" i="36"/>
  <c r="J266" i="36" s="1"/>
  <c r="J226" i="36"/>
  <c r="E5" i="44"/>
  <c r="F5" i="44"/>
  <c r="E6" i="44"/>
  <c r="E7" i="44"/>
  <c r="E8" i="44"/>
  <c r="F8" i="44"/>
  <c r="E9" i="44"/>
  <c r="F9" i="44"/>
  <c r="E10" i="44"/>
  <c r="E11" i="44"/>
  <c r="E12" i="44"/>
  <c r="F12" i="44"/>
  <c r="E13" i="44"/>
  <c r="E14" i="44"/>
  <c r="E15" i="44"/>
  <c r="M16" i="44"/>
  <c r="P16" i="44"/>
  <c r="R16" i="44"/>
  <c r="S16" i="44"/>
  <c r="F10" i="44"/>
  <c r="O16" i="44"/>
  <c r="L16" i="44"/>
  <c r="K16" i="44"/>
  <c r="I16" i="44"/>
  <c r="E4" i="44"/>
  <c r="S23" i="46"/>
  <c r="U279" i="36" s="1"/>
  <c r="S28" i="46"/>
  <c r="N243" i="36"/>
  <c r="S17" i="46"/>
  <c r="S19" i="46" s="1"/>
  <c r="R17" i="46"/>
  <c r="R19" i="46" s="1"/>
  <c r="Q23" i="46"/>
  <c r="S279" i="36" s="1"/>
  <c r="M17" i="46"/>
  <c r="M19" i="46" s="1"/>
  <c r="E15" i="46"/>
  <c r="F15" i="46" s="1"/>
  <c r="Y317" i="36"/>
  <c r="AA315" i="36"/>
  <c r="Y311" i="36"/>
  <c r="Y307" i="36"/>
  <c r="V323" i="36"/>
  <c r="AB322" i="36"/>
  <c r="AB321" i="36"/>
  <c r="V321" i="36"/>
  <c r="F19" i="45"/>
  <c r="F24" i="45"/>
  <c r="F26" i="45"/>
  <c r="E24" i="45"/>
  <c r="E26" i="45"/>
  <c r="R24" i="45"/>
  <c r="R26" i="45"/>
  <c r="F26" i="44"/>
  <c r="E22" i="44"/>
  <c r="Q19" i="44"/>
  <c r="E19" i="44"/>
  <c r="E16" i="46"/>
  <c r="F16" i="46" s="1"/>
  <c r="E10" i="46"/>
  <c r="F10" i="46" s="1"/>
  <c r="Q16" i="44"/>
  <c r="F6" i="44"/>
  <c r="F11" i="44"/>
  <c r="N16" i="44"/>
  <c r="H16" i="44"/>
  <c r="J16" i="44"/>
  <c r="F7" i="44"/>
  <c r="F4" i="44"/>
  <c r="F13" i="44"/>
  <c r="F14" i="44"/>
  <c r="F15" i="44"/>
  <c r="E16" i="44"/>
  <c r="U290" i="36"/>
  <c r="T290" i="36"/>
  <c r="S290" i="36"/>
  <c r="R290" i="36"/>
  <c r="Q290" i="36"/>
  <c r="P290" i="36"/>
  <c r="O290" i="36"/>
  <c r="N290" i="36"/>
  <c r="M290" i="36"/>
  <c r="L290" i="36"/>
  <c r="K290" i="36"/>
  <c r="J290" i="36"/>
  <c r="U288" i="36"/>
  <c r="T288" i="36"/>
  <c r="S288" i="36"/>
  <c r="R288" i="36"/>
  <c r="Q288" i="36"/>
  <c r="P288" i="36"/>
  <c r="O288" i="36"/>
  <c r="N288" i="36"/>
  <c r="M288" i="36"/>
  <c r="L288" i="36"/>
  <c r="K288" i="36"/>
  <c r="J288" i="36"/>
  <c r="G133" i="36"/>
  <c r="G151" i="36"/>
  <c r="G175" i="36"/>
  <c r="U207" i="36"/>
  <c r="T207" i="36"/>
  <c r="S207" i="36"/>
  <c r="R207" i="36"/>
  <c r="Q207" i="36"/>
  <c r="P207" i="36"/>
  <c r="O207" i="36"/>
  <c r="N207" i="36"/>
  <c r="M207" i="36"/>
  <c r="L207" i="36"/>
  <c r="K207" i="36"/>
  <c r="J207" i="36"/>
  <c r="U203" i="36"/>
  <c r="T203" i="36"/>
  <c r="S203" i="36"/>
  <c r="R203" i="36"/>
  <c r="Q203" i="36"/>
  <c r="P203" i="36"/>
  <c r="O203" i="36"/>
  <c r="N203" i="36"/>
  <c r="M203" i="36"/>
  <c r="L203" i="36"/>
  <c r="K203" i="36"/>
  <c r="J203" i="36"/>
  <c r="G196" i="36"/>
  <c r="U199" i="36"/>
  <c r="T199" i="36"/>
  <c r="S199" i="36"/>
  <c r="R199" i="36"/>
  <c r="Q199" i="36"/>
  <c r="P199" i="36"/>
  <c r="O199" i="36"/>
  <c r="N199" i="36"/>
  <c r="M199" i="36"/>
  <c r="L199" i="36"/>
  <c r="K199" i="36"/>
  <c r="J199" i="36"/>
  <c r="U184" i="36"/>
  <c r="T184" i="36"/>
  <c r="S184" i="36"/>
  <c r="R184" i="36"/>
  <c r="Q184" i="36"/>
  <c r="P184" i="36"/>
  <c r="O184" i="36"/>
  <c r="N184" i="36"/>
  <c r="M184" i="36"/>
  <c r="L184" i="36"/>
  <c r="K184" i="36"/>
  <c r="J184" i="36"/>
  <c r="Y180" i="36"/>
  <c r="U176" i="36"/>
  <c r="T176" i="36"/>
  <c r="S176" i="36"/>
  <c r="R176" i="36"/>
  <c r="Q176" i="36"/>
  <c r="P176" i="36"/>
  <c r="O176" i="36"/>
  <c r="N176" i="36"/>
  <c r="M176" i="36"/>
  <c r="L176" i="36"/>
  <c r="K176" i="36"/>
  <c r="J176" i="36"/>
  <c r="U162" i="36"/>
  <c r="T162" i="36"/>
  <c r="S162" i="36"/>
  <c r="R162" i="36"/>
  <c r="Q162" i="36"/>
  <c r="AA162" i="36" s="1"/>
  <c r="P162" i="36"/>
  <c r="O162" i="36"/>
  <c r="N162" i="36"/>
  <c r="M162" i="36"/>
  <c r="L162" i="36"/>
  <c r="K162" i="36"/>
  <c r="J162" i="36"/>
  <c r="U161" i="36"/>
  <c r="T161" i="36"/>
  <c r="S161" i="36"/>
  <c r="AB161" i="36" s="1"/>
  <c r="R161" i="36"/>
  <c r="AA161" i="36" s="1"/>
  <c r="Q161" i="36"/>
  <c r="P161" i="36"/>
  <c r="O161" i="36"/>
  <c r="N161" i="36"/>
  <c r="M161" i="36"/>
  <c r="L161" i="36"/>
  <c r="K161" i="36"/>
  <c r="J161" i="36"/>
  <c r="U158" i="36"/>
  <c r="T158" i="36"/>
  <c r="S158" i="36"/>
  <c r="R158" i="36"/>
  <c r="Q158" i="36"/>
  <c r="P158" i="36"/>
  <c r="O158" i="36"/>
  <c r="W158" i="36" s="1"/>
  <c r="N158" i="36"/>
  <c r="M158" i="36"/>
  <c r="L158" i="36"/>
  <c r="K158" i="36"/>
  <c r="J158" i="36"/>
  <c r="U157" i="36"/>
  <c r="T157" i="36"/>
  <c r="S157" i="36"/>
  <c r="AB157" i="36" s="1"/>
  <c r="R157" i="36"/>
  <c r="Q157" i="36"/>
  <c r="P157" i="36"/>
  <c r="O157" i="36"/>
  <c r="N157" i="36"/>
  <c r="M157" i="36"/>
  <c r="Z157" i="36" s="1"/>
  <c r="L157" i="36"/>
  <c r="K157" i="36"/>
  <c r="K155" i="36" s="1"/>
  <c r="J157" i="36"/>
  <c r="U154" i="36"/>
  <c r="T154" i="36"/>
  <c r="S154" i="36"/>
  <c r="R154" i="36"/>
  <c r="Q154" i="36"/>
  <c r="Q151" i="36" s="1"/>
  <c r="P154" i="36"/>
  <c r="O154" i="36"/>
  <c r="Z154" i="36" s="1"/>
  <c r="N154" i="36"/>
  <c r="N151" i="36" s="1"/>
  <c r="M154" i="36"/>
  <c r="L154" i="36"/>
  <c r="K154" i="36"/>
  <c r="J154" i="36"/>
  <c r="U153" i="36"/>
  <c r="T153" i="36"/>
  <c r="S153" i="36"/>
  <c r="AB153" i="36" s="1"/>
  <c r="R153" i="36"/>
  <c r="AA153" i="36" s="1"/>
  <c r="Q153" i="36"/>
  <c r="P153" i="36"/>
  <c r="O153" i="36"/>
  <c r="N153" i="36"/>
  <c r="M153" i="36"/>
  <c r="L153" i="36"/>
  <c r="K153" i="36"/>
  <c r="K151" i="36" s="1"/>
  <c r="J153" i="36"/>
  <c r="J147" i="36"/>
  <c r="J152" i="36" s="1"/>
  <c r="G306" i="36"/>
  <c r="J35" i="36"/>
  <c r="Z284" i="36"/>
  <c r="G283" i="36"/>
  <c r="G253" i="36"/>
  <c r="G250" i="36"/>
  <c r="G247" i="36"/>
  <c r="G244" i="36"/>
  <c r="G241" i="36"/>
  <c r="G238" i="36"/>
  <c r="G235" i="36"/>
  <c r="G232" i="36"/>
  <c r="G229" i="36"/>
  <c r="G226" i="36"/>
  <c r="Z298" i="36"/>
  <c r="S4" i="16"/>
  <c r="K120" i="36"/>
  <c r="L120" i="36"/>
  <c r="M120" i="36"/>
  <c r="N120" i="36"/>
  <c r="O120" i="36"/>
  <c r="P120" i="36"/>
  <c r="Q120" i="36"/>
  <c r="Q136" i="36" s="1"/>
  <c r="R120" i="36"/>
  <c r="S120" i="36"/>
  <c r="T120" i="36"/>
  <c r="U120" i="36"/>
  <c r="K121" i="36"/>
  <c r="L121" i="36"/>
  <c r="L140" i="36" s="1"/>
  <c r="M121" i="36"/>
  <c r="Z121" i="36" s="1"/>
  <c r="N121" i="36"/>
  <c r="N140" i="36" s="1"/>
  <c r="O121" i="36"/>
  <c r="P121" i="36"/>
  <c r="Q121" i="36"/>
  <c r="Q140" i="36" s="1"/>
  <c r="R121" i="36"/>
  <c r="S121" i="36"/>
  <c r="S140" i="36" s="1"/>
  <c r="T121" i="36"/>
  <c r="T140" i="36" s="1"/>
  <c r="U121" i="36"/>
  <c r="K122" i="36"/>
  <c r="L122" i="36"/>
  <c r="M122" i="36"/>
  <c r="N122" i="36"/>
  <c r="O122" i="36"/>
  <c r="P122" i="36"/>
  <c r="P144" i="36" s="1"/>
  <c r="Q122" i="36"/>
  <c r="R122" i="36"/>
  <c r="R144" i="36" s="1"/>
  <c r="S122" i="36"/>
  <c r="T122" i="36"/>
  <c r="T144" i="36" s="1"/>
  <c r="U122" i="36"/>
  <c r="K123" i="36"/>
  <c r="K135" i="36" s="1"/>
  <c r="L123" i="36"/>
  <c r="M123" i="36"/>
  <c r="M135" i="36" s="1"/>
  <c r="N123" i="36"/>
  <c r="N135" i="36" s="1"/>
  <c r="O123" i="36"/>
  <c r="O135" i="36" s="1"/>
  <c r="P123" i="36"/>
  <c r="Q123" i="36"/>
  <c r="R123" i="36"/>
  <c r="R135" i="36" s="1"/>
  <c r="S123" i="36"/>
  <c r="T123" i="36"/>
  <c r="U123" i="36"/>
  <c r="K124" i="36"/>
  <c r="L124" i="36"/>
  <c r="M124" i="36"/>
  <c r="N124" i="36"/>
  <c r="O124" i="36"/>
  <c r="O139" i="36" s="1"/>
  <c r="P124" i="36"/>
  <c r="Q124" i="36"/>
  <c r="R124" i="36"/>
  <c r="R139" i="36" s="1"/>
  <c r="S124" i="36"/>
  <c r="S139" i="36" s="1"/>
  <c r="T124" i="36"/>
  <c r="U124" i="36"/>
  <c r="U139" i="36" s="1"/>
  <c r="K125" i="36"/>
  <c r="K143" i="36" s="1"/>
  <c r="L125" i="36"/>
  <c r="L143" i="36" s="1"/>
  <c r="M125" i="36"/>
  <c r="M143" i="36" s="1"/>
  <c r="N125" i="36"/>
  <c r="O125" i="36"/>
  <c r="P125" i="36"/>
  <c r="P143" i="36" s="1"/>
  <c r="Q125" i="36"/>
  <c r="R125" i="36"/>
  <c r="R143" i="36" s="1"/>
  <c r="S125" i="36"/>
  <c r="T125" i="36"/>
  <c r="U125" i="36"/>
  <c r="K147" i="36"/>
  <c r="K152" i="36"/>
  <c r="L147" i="36"/>
  <c r="M147" i="36"/>
  <c r="M152" i="36"/>
  <c r="N147" i="36"/>
  <c r="N152" i="36" s="1"/>
  <c r="O147" i="36"/>
  <c r="Z147" i="36" s="1"/>
  <c r="O152" i="36"/>
  <c r="O151" i="36" s="1"/>
  <c r="P147" i="36"/>
  <c r="P152" i="36" s="1"/>
  <c r="Q147" i="36"/>
  <c r="Q152" i="36"/>
  <c r="R147" i="36"/>
  <c r="R152" i="36" s="1"/>
  <c r="S147" i="36"/>
  <c r="T147" i="36"/>
  <c r="T152" i="36" s="1"/>
  <c r="T151" i="36" s="1"/>
  <c r="U147" i="36"/>
  <c r="U152" i="36" s="1"/>
  <c r="K148" i="36"/>
  <c r="K156" i="36" s="1"/>
  <c r="L148" i="36"/>
  <c r="L156" i="36"/>
  <c r="M148" i="36"/>
  <c r="W148" i="36" s="1"/>
  <c r="N148" i="36"/>
  <c r="N156" i="36"/>
  <c r="O148" i="36"/>
  <c r="O156" i="36" s="1"/>
  <c r="O155" i="36" s="1"/>
  <c r="P148" i="36"/>
  <c r="P156" i="36"/>
  <c r="Q148" i="36"/>
  <c r="Q156" i="36" s="1"/>
  <c r="R148" i="36"/>
  <c r="R156" i="36"/>
  <c r="R155" i="36" s="1"/>
  <c r="S148" i="36"/>
  <c r="S156" i="36" s="1"/>
  <c r="T148" i="36"/>
  <c r="T156" i="36"/>
  <c r="U148" i="36"/>
  <c r="U156" i="36" s="1"/>
  <c r="K149" i="36"/>
  <c r="K160" i="36"/>
  <c r="L149" i="36"/>
  <c r="L160" i="36" s="1"/>
  <c r="M149" i="36"/>
  <c r="M160" i="36" s="1"/>
  <c r="M159" i="36" s="1"/>
  <c r="N149" i="36"/>
  <c r="O149" i="36"/>
  <c r="O160" i="36" s="1"/>
  <c r="P149" i="36"/>
  <c r="P160" i="36" s="1"/>
  <c r="Q149" i="36"/>
  <c r="Q160" i="36"/>
  <c r="R149" i="36"/>
  <c r="S149" i="36"/>
  <c r="S160" i="36"/>
  <c r="T149" i="36"/>
  <c r="U149" i="36"/>
  <c r="U160" i="36"/>
  <c r="K126" i="36"/>
  <c r="L126" i="36"/>
  <c r="L134" i="36" s="1"/>
  <c r="M126" i="36"/>
  <c r="M134" i="36" s="1"/>
  <c r="N126" i="36"/>
  <c r="O126" i="36"/>
  <c r="P126" i="36"/>
  <c r="Q126" i="36"/>
  <c r="R126" i="36"/>
  <c r="S126" i="36"/>
  <c r="T126" i="36"/>
  <c r="U126" i="36"/>
  <c r="U134" i="36" s="1"/>
  <c r="K127" i="36"/>
  <c r="L127" i="36"/>
  <c r="L138" i="36" s="1"/>
  <c r="M127" i="36"/>
  <c r="M138" i="36" s="1"/>
  <c r="M137" i="36" s="1"/>
  <c r="N127" i="36"/>
  <c r="O127" i="36"/>
  <c r="P127" i="36"/>
  <c r="Q127" i="36"/>
  <c r="R127" i="36"/>
  <c r="R138" i="36" s="1"/>
  <c r="R137" i="36" s="1"/>
  <c r="S127" i="36"/>
  <c r="T127" i="36"/>
  <c r="U127" i="36"/>
  <c r="U138" i="36" s="1"/>
  <c r="K128" i="36"/>
  <c r="L128" i="36"/>
  <c r="M128" i="36"/>
  <c r="N128" i="36"/>
  <c r="O128" i="36"/>
  <c r="O142" i="36" s="1"/>
  <c r="P128" i="36"/>
  <c r="Q128" i="36"/>
  <c r="R128" i="36"/>
  <c r="R142" i="36" s="1"/>
  <c r="S128" i="36"/>
  <c r="T128" i="36"/>
  <c r="U128" i="36"/>
  <c r="AB128" i="36" s="1"/>
  <c r="K129" i="36"/>
  <c r="L129" i="36"/>
  <c r="M129" i="36"/>
  <c r="N129" i="36"/>
  <c r="O129" i="36"/>
  <c r="P129" i="36"/>
  <c r="Q129" i="36"/>
  <c r="R129" i="36"/>
  <c r="AA129" i="36" s="1"/>
  <c r="S129" i="36"/>
  <c r="T129" i="36"/>
  <c r="AB129" i="36" s="1"/>
  <c r="U129" i="36"/>
  <c r="K130" i="36"/>
  <c r="L130" i="36"/>
  <c r="M130" i="36"/>
  <c r="N130" i="36"/>
  <c r="N138" i="36" s="1"/>
  <c r="O130" i="36"/>
  <c r="Z130" i="36" s="1"/>
  <c r="P130" i="36"/>
  <c r="Q130" i="36"/>
  <c r="AA130" i="36" s="1"/>
  <c r="R130" i="36"/>
  <c r="S130" i="36"/>
  <c r="T130" i="36"/>
  <c r="U130" i="36"/>
  <c r="K131" i="36"/>
  <c r="L131" i="36"/>
  <c r="M131" i="36"/>
  <c r="N131" i="36"/>
  <c r="N142" i="36" s="1"/>
  <c r="O131" i="36"/>
  <c r="P131" i="36"/>
  <c r="Q131" i="36"/>
  <c r="R131" i="36"/>
  <c r="S131" i="36"/>
  <c r="S142" i="36" s="1"/>
  <c r="T131" i="36"/>
  <c r="U131" i="36"/>
  <c r="J131" i="36"/>
  <c r="J142" i="36" s="1"/>
  <c r="J128" i="36"/>
  <c r="J149" i="36"/>
  <c r="J125" i="36"/>
  <c r="J122" i="36"/>
  <c r="J130" i="36"/>
  <c r="J127" i="36"/>
  <c r="J148" i="36"/>
  <c r="Y148" i="36" s="1"/>
  <c r="J156" i="36"/>
  <c r="J155" i="36" s="1"/>
  <c r="Y155" i="36" s="1"/>
  <c r="J124" i="36"/>
  <c r="J121" i="36"/>
  <c r="J140" i="36" s="1"/>
  <c r="J129" i="36"/>
  <c r="Y129" i="36" s="1"/>
  <c r="J126" i="36"/>
  <c r="J123" i="36"/>
  <c r="J120" i="36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G8" i="41"/>
  <c r="K7" i="41"/>
  <c r="I7" i="41"/>
  <c r="I6" i="41"/>
  <c r="I5" i="41"/>
  <c r="I4" i="41"/>
  <c r="I3" i="41"/>
  <c r="I8" i="41"/>
  <c r="AC8" i="40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G8" i="40"/>
  <c r="K7" i="40"/>
  <c r="I7" i="40"/>
  <c r="I6" i="40"/>
  <c r="I5" i="40"/>
  <c r="I4" i="40"/>
  <c r="I3" i="40"/>
  <c r="I8" i="40"/>
  <c r="I5" i="15"/>
  <c r="AC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G8" i="15"/>
  <c r="K7" i="15"/>
  <c r="I7" i="15"/>
  <c r="I6" i="15"/>
  <c r="I4" i="15"/>
  <c r="I3" i="15"/>
  <c r="I8" i="15"/>
  <c r="J171" i="36"/>
  <c r="J177" i="36" s="1"/>
  <c r="K171" i="36"/>
  <c r="L171" i="36"/>
  <c r="L177" i="36" s="1"/>
  <c r="M171" i="36"/>
  <c r="M177" i="36" s="1"/>
  <c r="N171" i="36"/>
  <c r="N177" i="36" s="1"/>
  <c r="O171" i="36"/>
  <c r="O177" i="36" s="1"/>
  <c r="P171" i="36"/>
  <c r="P177" i="36" s="1"/>
  <c r="Q171" i="36"/>
  <c r="Q177" i="36" s="1"/>
  <c r="R171" i="36"/>
  <c r="R177" i="36" s="1"/>
  <c r="S171" i="36"/>
  <c r="U171" i="36"/>
  <c r="U177" i="36" s="1"/>
  <c r="J168" i="36"/>
  <c r="K168" i="36"/>
  <c r="L168" i="36"/>
  <c r="M168" i="36"/>
  <c r="N168" i="36"/>
  <c r="N178" i="36" s="1"/>
  <c r="O168" i="36"/>
  <c r="O178" i="36" s="1"/>
  <c r="P168" i="36"/>
  <c r="Q168" i="36"/>
  <c r="R168" i="36"/>
  <c r="S168" i="36"/>
  <c r="T168" i="36"/>
  <c r="U168" i="36"/>
  <c r="J165" i="36"/>
  <c r="J178" i="36" s="1"/>
  <c r="K165" i="36"/>
  <c r="L165" i="36"/>
  <c r="M165" i="36"/>
  <c r="N165" i="36"/>
  <c r="O165" i="36"/>
  <c r="P165" i="36"/>
  <c r="Q165" i="36"/>
  <c r="R165" i="36"/>
  <c r="S165" i="36"/>
  <c r="T165" i="36"/>
  <c r="U165" i="36"/>
  <c r="J189" i="36"/>
  <c r="J198" i="36" s="1"/>
  <c r="K189" i="36"/>
  <c r="K198" i="36"/>
  <c r="L189" i="36"/>
  <c r="L198" i="36" s="1"/>
  <c r="M189" i="36"/>
  <c r="M198" i="36" s="1"/>
  <c r="N189" i="36"/>
  <c r="N198" i="36" s="1"/>
  <c r="O189" i="36"/>
  <c r="O198" i="36" s="1"/>
  <c r="P189" i="36"/>
  <c r="P198" i="36" s="1"/>
  <c r="Q189" i="36"/>
  <c r="Q198" i="36" s="1"/>
  <c r="R189" i="36"/>
  <c r="R198" i="36" s="1"/>
  <c r="S189" i="36"/>
  <c r="S198" i="36" s="1"/>
  <c r="T189" i="36"/>
  <c r="T198" i="36" s="1"/>
  <c r="U189" i="36"/>
  <c r="U198" i="36" s="1"/>
  <c r="J102" i="36"/>
  <c r="K102" i="36"/>
  <c r="L102" i="36"/>
  <c r="M102" i="36"/>
  <c r="N102" i="36"/>
  <c r="O102" i="36"/>
  <c r="P102" i="36"/>
  <c r="Q102" i="36"/>
  <c r="R102" i="36"/>
  <c r="S102" i="36"/>
  <c r="T102" i="36"/>
  <c r="U102" i="36"/>
  <c r="J192" i="36"/>
  <c r="J197" i="36" s="1"/>
  <c r="K192" i="36"/>
  <c r="K197" i="36" s="1"/>
  <c r="L192" i="36"/>
  <c r="L197" i="36" s="1"/>
  <c r="M192" i="36"/>
  <c r="N192" i="36"/>
  <c r="N197" i="36" s="1"/>
  <c r="O192" i="36"/>
  <c r="O197" i="36" s="1"/>
  <c r="P192" i="36"/>
  <c r="Q192" i="36"/>
  <c r="Q197" i="36" s="1"/>
  <c r="R192" i="36"/>
  <c r="R197" i="36" s="1"/>
  <c r="S192" i="36"/>
  <c r="T192" i="36"/>
  <c r="T197" i="36" s="1"/>
  <c r="U192" i="36"/>
  <c r="U197" i="36" s="1"/>
  <c r="T177" i="36"/>
  <c r="S177" i="36"/>
  <c r="N143" i="36"/>
  <c r="Q139" i="36"/>
  <c r="T135" i="36"/>
  <c r="L135" i="36"/>
  <c r="O144" i="36"/>
  <c r="R140" i="36"/>
  <c r="U136" i="36"/>
  <c r="M136" i="36"/>
  <c r="J136" i="36"/>
  <c r="U135" i="36"/>
  <c r="U143" i="36"/>
  <c r="N144" i="36"/>
  <c r="N141" i="36" s="1"/>
  <c r="T136" i="36"/>
  <c r="L136" i="36"/>
  <c r="U144" i="36"/>
  <c r="P140" i="36"/>
  <c r="S136" i="36"/>
  <c r="R136" i="36"/>
  <c r="S143" i="36"/>
  <c r="S141" i="36" s="1"/>
  <c r="N139" i="36"/>
  <c r="L144" i="36"/>
  <c r="O140" i="36"/>
  <c r="M139" i="36"/>
  <c r="S144" i="36"/>
  <c r="K144" i="36"/>
  <c r="Q135" i="36"/>
  <c r="J139" i="36"/>
  <c r="Q143" i="36"/>
  <c r="T139" i="36"/>
  <c r="AB139" i="36" s="1"/>
  <c r="L139" i="36"/>
  <c r="U140" i="36"/>
  <c r="M140" i="36"/>
  <c r="P136" i="36"/>
  <c r="S138" i="36"/>
  <c r="K138" i="36"/>
  <c r="AR37" i="39"/>
  <c r="AR38" i="39"/>
  <c r="AR39" i="39"/>
  <c r="AR40" i="39"/>
  <c r="AR41" i="39"/>
  <c r="AR42" i="39"/>
  <c r="M43" i="39"/>
  <c r="M42" i="39"/>
  <c r="M41" i="39"/>
  <c r="N40" i="39"/>
  <c r="M40" i="39"/>
  <c r="D40" i="39"/>
  <c r="C40" i="39"/>
  <c r="B40" i="39"/>
  <c r="M39" i="39"/>
  <c r="P38" i="39"/>
  <c r="K38" i="39"/>
  <c r="M38" i="39" s="1"/>
  <c r="J103" i="36"/>
  <c r="K103" i="36"/>
  <c r="L103" i="36"/>
  <c r="M103" i="36"/>
  <c r="N103" i="36"/>
  <c r="O103" i="36"/>
  <c r="P103" i="36"/>
  <c r="Q103" i="36"/>
  <c r="R103" i="36"/>
  <c r="S103" i="36"/>
  <c r="T103" i="36"/>
  <c r="U103" i="36"/>
  <c r="U172" i="36"/>
  <c r="U181" i="36" s="1"/>
  <c r="T172" i="36"/>
  <c r="T181" i="36" s="1"/>
  <c r="S172" i="36"/>
  <c r="S181" i="36" s="1"/>
  <c r="R172" i="36"/>
  <c r="R181" i="36" s="1"/>
  <c r="Q172" i="36"/>
  <c r="Q181" i="36" s="1"/>
  <c r="P172" i="36"/>
  <c r="P181" i="36" s="1"/>
  <c r="O172" i="36"/>
  <c r="O181" i="36" s="1"/>
  <c r="N172" i="36"/>
  <c r="N181" i="36" s="1"/>
  <c r="M172" i="36"/>
  <c r="M181" i="36" s="1"/>
  <c r="L172" i="36"/>
  <c r="L181" i="36" s="1"/>
  <c r="K172" i="36"/>
  <c r="J172" i="36"/>
  <c r="J181" i="36" s="1"/>
  <c r="J169" i="36"/>
  <c r="K169" i="36"/>
  <c r="L169" i="36"/>
  <c r="M169" i="36"/>
  <c r="N169" i="36"/>
  <c r="O169" i="36"/>
  <c r="P169" i="36"/>
  <c r="Q169" i="36"/>
  <c r="R169" i="36"/>
  <c r="S169" i="36"/>
  <c r="T169" i="36"/>
  <c r="U169" i="36"/>
  <c r="J166" i="36"/>
  <c r="K166" i="36"/>
  <c r="L166" i="36"/>
  <c r="M166" i="36"/>
  <c r="N166" i="36"/>
  <c r="O166" i="36"/>
  <c r="P166" i="36"/>
  <c r="Q166" i="36"/>
  <c r="R166" i="36"/>
  <c r="S166" i="36"/>
  <c r="T166" i="36"/>
  <c r="U166" i="36"/>
  <c r="J193" i="36"/>
  <c r="J201" i="36" s="1"/>
  <c r="K193" i="36"/>
  <c r="L193" i="36"/>
  <c r="L201" i="36" s="1"/>
  <c r="M193" i="36"/>
  <c r="N193" i="36"/>
  <c r="N201" i="36" s="1"/>
  <c r="O193" i="36"/>
  <c r="O201" i="36" s="1"/>
  <c r="P193" i="36"/>
  <c r="P201" i="36" s="1"/>
  <c r="Q193" i="36"/>
  <c r="Q201" i="36" s="1"/>
  <c r="R193" i="36"/>
  <c r="R201" i="36" s="1"/>
  <c r="S193" i="36"/>
  <c r="S201" i="36" s="1"/>
  <c r="T193" i="36"/>
  <c r="T201" i="36" s="1"/>
  <c r="U193" i="36"/>
  <c r="U201" i="36" s="1"/>
  <c r="J190" i="36"/>
  <c r="J202" i="36" s="1"/>
  <c r="K190" i="36"/>
  <c r="L190" i="36"/>
  <c r="L202" i="36" s="1"/>
  <c r="M190" i="36"/>
  <c r="N190" i="36"/>
  <c r="N202" i="36" s="1"/>
  <c r="O190" i="36"/>
  <c r="O202" i="36" s="1"/>
  <c r="P190" i="36"/>
  <c r="P202" i="36"/>
  <c r="Q190" i="36"/>
  <c r="Q202" i="36" s="1"/>
  <c r="R190" i="36"/>
  <c r="R202" i="36" s="1"/>
  <c r="S190" i="36"/>
  <c r="S202" i="36" s="1"/>
  <c r="T190" i="36"/>
  <c r="T202" i="36" s="1"/>
  <c r="U190" i="36"/>
  <c r="U202" i="36" s="1"/>
  <c r="L35" i="38"/>
  <c r="P35" i="38"/>
  <c r="Q35" i="38"/>
  <c r="R35" i="38"/>
  <c r="S35" i="38"/>
  <c r="T35" i="38"/>
  <c r="U35" i="38"/>
  <c r="V35" i="38"/>
  <c r="W35" i="38"/>
  <c r="X35" i="38"/>
  <c r="Y35" i="38"/>
  <c r="Z35" i="38"/>
  <c r="AA35" i="38"/>
  <c r="AB35" i="38"/>
  <c r="AC35" i="38"/>
  <c r="AD35" i="38"/>
  <c r="AE35" i="38"/>
  <c r="AF35" i="38"/>
  <c r="AG35" i="38"/>
  <c r="AG37" i="38" s="1"/>
  <c r="AH35" i="38"/>
  <c r="AI35" i="38"/>
  <c r="AJ35" i="38"/>
  <c r="AJ37" i="38" s="1"/>
  <c r="AK35" i="38"/>
  <c r="AL35" i="38"/>
  <c r="AM35" i="38"/>
  <c r="AN35" i="38"/>
  <c r="AO35" i="38"/>
  <c r="AO37" i="38" s="1"/>
  <c r="AP35" i="38"/>
  <c r="M30" i="38"/>
  <c r="M31" i="38"/>
  <c r="M32" i="38"/>
  <c r="M33" i="38"/>
  <c r="M34" i="38"/>
  <c r="N31" i="38"/>
  <c r="N35" i="38" s="1"/>
  <c r="D31" i="38"/>
  <c r="C31" i="38"/>
  <c r="B31" i="38"/>
  <c r="O29" i="38"/>
  <c r="K29" i="38"/>
  <c r="M29" i="38" s="1"/>
  <c r="AQ29" i="38"/>
  <c r="AQ30" i="38"/>
  <c r="AQ31" i="38"/>
  <c r="AQ32" i="38"/>
  <c r="AQ33" i="38"/>
  <c r="Z281" i="36"/>
  <c r="J173" i="36"/>
  <c r="J185" i="36" s="1"/>
  <c r="K173" i="36"/>
  <c r="K185" i="36" s="1"/>
  <c r="L173" i="36"/>
  <c r="L185" i="36" s="1"/>
  <c r="M173" i="36"/>
  <c r="M185" i="36" s="1"/>
  <c r="N173" i="36"/>
  <c r="N185" i="36" s="1"/>
  <c r="O173" i="36"/>
  <c r="O185" i="36" s="1"/>
  <c r="P173" i="36"/>
  <c r="P185" i="36" s="1"/>
  <c r="Q173" i="36"/>
  <c r="Q185" i="36" s="1"/>
  <c r="R173" i="36"/>
  <c r="S173" i="36"/>
  <c r="S185" i="36" s="1"/>
  <c r="T173" i="36"/>
  <c r="T185" i="36" s="1"/>
  <c r="U173" i="36"/>
  <c r="U185" i="36" s="1"/>
  <c r="J170" i="36"/>
  <c r="K170" i="36"/>
  <c r="L170" i="36"/>
  <c r="M170" i="36"/>
  <c r="N170" i="36"/>
  <c r="O170" i="36"/>
  <c r="P170" i="36"/>
  <c r="Q170" i="36"/>
  <c r="R170" i="36"/>
  <c r="S170" i="36"/>
  <c r="T170" i="36"/>
  <c r="U170" i="36"/>
  <c r="J167" i="36"/>
  <c r="K167" i="36"/>
  <c r="L167" i="36"/>
  <c r="M167" i="36"/>
  <c r="N167" i="36"/>
  <c r="O167" i="36"/>
  <c r="P167" i="36"/>
  <c r="Q167" i="36"/>
  <c r="R167" i="36"/>
  <c r="S167" i="36"/>
  <c r="T167" i="36"/>
  <c r="U167" i="36"/>
  <c r="J194" i="36"/>
  <c r="K194" i="36"/>
  <c r="K205" i="36" s="1"/>
  <c r="L194" i="36"/>
  <c r="M194" i="36"/>
  <c r="M205" i="36" s="1"/>
  <c r="N194" i="36"/>
  <c r="N205" i="36" s="1"/>
  <c r="O194" i="36"/>
  <c r="O205" i="36" s="1"/>
  <c r="P194" i="36"/>
  <c r="P205" i="36" s="1"/>
  <c r="Q194" i="36"/>
  <c r="Q205" i="36" s="1"/>
  <c r="R194" i="36"/>
  <c r="R205" i="36" s="1"/>
  <c r="S194" i="36"/>
  <c r="S205" i="36" s="1"/>
  <c r="T194" i="36"/>
  <c r="T205" i="36" s="1"/>
  <c r="U194" i="36"/>
  <c r="U205" i="36" s="1"/>
  <c r="J191" i="36"/>
  <c r="J206" i="36" s="1"/>
  <c r="K191" i="36"/>
  <c r="K206" i="36" s="1"/>
  <c r="L191" i="36"/>
  <c r="L206" i="36" s="1"/>
  <c r="M191" i="36"/>
  <c r="N191" i="36"/>
  <c r="N206" i="36" s="1"/>
  <c r="O191" i="36"/>
  <c r="O206" i="36" s="1"/>
  <c r="P191" i="36"/>
  <c r="P206" i="36" s="1"/>
  <c r="Q191" i="36"/>
  <c r="Q206" i="36" s="1"/>
  <c r="R191" i="36"/>
  <c r="R206" i="36" s="1"/>
  <c r="S191" i="36"/>
  <c r="S206" i="36" s="1"/>
  <c r="T191" i="36"/>
  <c r="T206" i="36" s="1"/>
  <c r="U191" i="36"/>
  <c r="U206" i="36" s="1"/>
  <c r="L37" i="32"/>
  <c r="K33" i="32"/>
  <c r="K32" i="32"/>
  <c r="K31" i="32"/>
  <c r="K36" i="32"/>
  <c r="D37" i="32"/>
  <c r="C37" i="32"/>
  <c r="B37" i="32"/>
  <c r="P289" i="36"/>
  <c r="AB278" i="36"/>
  <c r="O289" i="36"/>
  <c r="Y304" i="36"/>
  <c r="Z303" i="36"/>
  <c r="Y303" i="36"/>
  <c r="Y302" i="36"/>
  <c r="Z131" i="36"/>
  <c r="Y127" i="36"/>
  <c r="Z239" i="36"/>
  <c r="Z233" i="36"/>
  <c r="Z227" i="36"/>
  <c r="V304" i="36"/>
  <c r="V303" i="36"/>
  <c r="W304" i="36"/>
  <c r="W303" i="36"/>
  <c r="W302" i="36"/>
  <c r="W129" i="36"/>
  <c r="M268" i="36"/>
  <c r="P266" i="36"/>
  <c r="O266" i="36"/>
  <c r="N266" i="36"/>
  <c r="N214" i="36" s="1"/>
  <c r="T264" i="36"/>
  <c r="T212" i="36" s="1"/>
  <c r="P264" i="36"/>
  <c r="O264" i="36"/>
  <c r="K264" i="36"/>
  <c r="K212" i="36" s="1"/>
  <c r="N43" i="36"/>
  <c r="AQ4" i="38"/>
  <c r="J56" i="36"/>
  <c r="K56" i="36"/>
  <c r="L56" i="36"/>
  <c r="M56" i="36"/>
  <c r="N56" i="36"/>
  <c r="O56" i="36"/>
  <c r="P56" i="36"/>
  <c r="Q56" i="36"/>
  <c r="R56" i="36"/>
  <c r="S56" i="36"/>
  <c r="T56" i="36"/>
  <c r="U56" i="36"/>
  <c r="J59" i="36"/>
  <c r="K59" i="36"/>
  <c r="L59" i="36"/>
  <c r="M59" i="36"/>
  <c r="N59" i="36"/>
  <c r="O59" i="36"/>
  <c r="P59" i="36"/>
  <c r="Q59" i="36"/>
  <c r="R59" i="36"/>
  <c r="S59" i="36"/>
  <c r="T59" i="36"/>
  <c r="U59" i="36"/>
  <c r="J62" i="36"/>
  <c r="K62" i="36"/>
  <c r="L62" i="36"/>
  <c r="M62" i="36"/>
  <c r="N62" i="36"/>
  <c r="O62" i="36"/>
  <c r="P62" i="36"/>
  <c r="Q62" i="36"/>
  <c r="R62" i="36"/>
  <c r="S62" i="36"/>
  <c r="T62" i="36"/>
  <c r="U62" i="36"/>
  <c r="J65" i="36"/>
  <c r="K65" i="36"/>
  <c r="L65" i="36"/>
  <c r="M65" i="36"/>
  <c r="N65" i="36"/>
  <c r="O65" i="36"/>
  <c r="P65" i="36"/>
  <c r="Q65" i="36"/>
  <c r="T65" i="36"/>
  <c r="U65" i="36"/>
  <c r="J71" i="36"/>
  <c r="J68" i="36" s="1"/>
  <c r="K71" i="36"/>
  <c r="K68" i="36" s="1"/>
  <c r="L71" i="36"/>
  <c r="L68" i="36" s="1"/>
  <c r="M71" i="36"/>
  <c r="M68" i="36" s="1"/>
  <c r="N71" i="36"/>
  <c r="N68" i="36" s="1"/>
  <c r="O71" i="36"/>
  <c r="O68" i="36" s="1"/>
  <c r="P71" i="36"/>
  <c r="P68" i="36" s="1"/>
  <c r="Q71" i="36"/>
  <c r="Q68" i="36" s="1"/>
  <c r="R71" i="36"/>
  <c r="R68" i="36" s="1"/>
  <c r="S71" i="36"/>
  <c r="S68" i="36" s="1"/>
  <c r="T71" i="36"/>
  <c r="T68" i="36" s="1"/>
  <c r="U71" i="36"/>
  <c r="U68" i="36" s="1"/>
  <c r="J77" i="36"/>
  <c r="K77" i="36"/>
  <c r="L77" i="36"/>
  <c r="M77" i="36"/>
  <c r="N77" i="36"/>
  <c r="O77" i="36"/>
  <c r="P77" i="36"/>
  <c r="Q77" i="36"/>
  <c r="U77" i="36"/>
  <c r="J80" i="36"/>
  <c r="K80" i="36"/>
  <c r="L80" i="36"/>
  <c r="M80" i="36"/>
  <c r="N80" i="36"/>
  <c r="O80" i="36"/>
  <c r="P80" i="36"/>
  <c r="Q80" i="36"/>
  <c r="R80" i="36"/>
  <c r="S80" i="36"/>
  <c r="T80" i="36"/>
  <c r="U80" i="36"/>
  <c r="J83" i="36"/>
  <c r="J117" i="36" s="1"/>
  <c r="K83" i="36"/>
  <c r="K117" i="36" s="1"/>
  <c r="L83" i="36"/>
  <c r="L117" i="36" s="1"/>
  <c r="M83" i="36"/>
  <c r="M117" i="36" s="1"/>
  <c r="N83" i="36"/>
  <c r="N117" i="36" s="1"/>
  <c r="O83" i="36"/>
  <c r="O117" i="36" s="1"/>
  <c r="P83" i="36"/>
  <c r="P117" i="36" s="1"/>
  <c r="Q83" i="36"/>
  <c r="Q117" i="36" s="1"/>
  <c r="R83" i="36"/>
  <c r="R117" i="36" s="1"/>
  <c r="S83" i="36"/>
  <c r="S117" i="36" s="1"/>
  <c r="T83" i="36"/>
  <c r="T117" i="36" s="1"/>
  <c r="U83" i="36"/>
  <c r="U117" i="36" s="1"/>
  <c r="J86" i="36"/>
  <c r="K86" i="36"/>
  <c r="L86" i="36"/>
  <c r="M86" i="36"/>
  <c r="N86" i="36"/>
  <c r="O86" i="36"/>
  <c r="P86" i="36"/>
  <c r="Q86" i="36"/>
  <c r="R86" i="36"/>
  <c r="S86" i="36"/>
  <c r="T86" i="36"/>
  <c r="U86" i="36"/>
  <c r="J89" i="36"/>
  <c r="K89" i="36"/>
  <c r="L89" i="36"/>
  <c r="M89" i="36"/>
  <c r="N89" i="36"/>
  <c r="O89" i="36"/>
  <c r="P89" i="36"/>
  <c r="Q89" i="36"/>
  <c r="T89" i="36"/>
  <c r="U89" i="36"/>
  <c r="J92" i="36"/>
  <c r="K92" i="36"/>
  <c r="L92" i="36"/>
  <c r="M92" i="36"/>
  <c r="N92" i="36"/>
  <c r="O92" i="36"/>
  <c r="P92" i="36"/>
  <c r="Q92" i="36"/>
  <c r="R92" i="36"/>
  <c r="S92" i="36"/>
  <c r="T92" i="36"/>
  <c r="U92" i="36"/>
  <c r="J95" i="36"/>
  <c r="K95" i="36"/>
  <c r="L95" i="36"/>
  <c r="M95" i="36"/>
  <c r="N95" i="36"/>
  <c r="O95" i="36"/>
  <c r="P95" i="36"/>
  <c r="Q95" i="36"/>
  <c r="R95" i="36"/>
  <c r="S95" i="36"/>
  <c r="T95" i="36"/>
  <c r="U95" i="36"/>
  <c r="J98" i="36"/>
  <c r="K98" i="36"/>
  <c r="L98" i="36"/>
  <c r="M98" i="36"/>
  <c r="N98" i="36"/>
  <c r="O98" i="36"/>
  <c r="P98" i="36"/>
  <c r="Q98" i="36"/>
  <c r="R98" i="36"/>
  <c r="S98" i="36"/>
  <c r="T98" i="36"/>
  <c r="U98" i="36"/>
  <c r="J101" i="36"/>
  <c r="K101" i="36"/>
  <c r="L101" i="36"/>
  <c r="M101" i="36"/>
  <c r="N101" i="36"/>
  <c r="O101" i="36"/>
  <c r="P101" i="36"/>
  <c r="Q101" i="36"/>
  <c r="R101" i="36"/>
  <c r="S101" i="36"/>
  <c r="T101" i="36"/>
  <c r="U101" i="36"/>
  <c r="J104" i="36"/>
  <c r="K104" i="36"/>
  <c r="L104" i="36"/>
  <c r="M104" i="36"/>
  <c r="N104" i="36"/>
  <c r="O104" i="36"/>
  <c r="P104" i="36"/>
  <c r="Q104" i="36"/>
  <c r="R104" i="36"/>
  <c r="S104" i="36"/>
  <c r="T104" i="36"/>
  <c r="U104" i="36"/>
  <c r="K35" i="36"/>
  <c r="L35" i="36"/>
  <c r="M35" i="36"/>
  <c r="N35" i="36"/>
  <c r="O35" i="36"/>
  <c r="P35" i="36"/>
  <c r="Q35" i="36"/>
  <c r="R35" i="36"/>
  <c r="S35" i="36"/>
  <c r="T35" i="36"/>
  <c r="U35" i="36"/>
  <c r="J38" i="36"/>
  <c r="K38" i="36"/>
  <c r="L38" i="36"/>
  <c r="M38" i="36"/>
  <c r="N38" i="36"/>
  <c r="O38" i="36"/>
  <c r="P38" i="36"/>
  <c r="Q38" i="36"/>
  <c r="R38" i="36"/>
  <c r="S38" i="36"/>
  <c r="T38" i="36"/>
  <c r="U38" i="36"/>
  <c r="J41" i="36"/>
  <c r="K41" i="36"/>
  <c r="L41" i="36"/>
  <c r="M41" i="36"/>
  <c r="N41" i="36"/>
  <c r="O41" i="36"/>
  <c r="P41" i="36"/>
  <c r="Q41" i="36"/>
  <c r="R41" i="36"/>
  <c r="S41" i="36"/>
  <c r="T41" i="36"/>
  <c r="U41" i="36"/>
  <c r="J44" i="36"/>
  <c r="K44" i="36"/>
  <c r="L44" i="36"/>
  <c r="M44" i="36"/>
  <c r="N44" i="36"/>
  <c r="O44" i="36"/>
  <c r="P44" i="36"/>
  <c r="Q44" i="36"/>
  <c r="R44" i="36"/>
  <c r="S44" i="36"/>
  <c r="T44" i="36"/>
  <c r="U44" i="36"/>
  <c r="J47" i="36"/>
  <c r="K47" i="36"/>
  <c r="L47" i="36"/>
  <c r="M47" i="36"/>
  <c r="N47" i="36"/>
  <c r="O47" i="36"/>
  <c r="P47" i="36"/>
  <c r="Q47" i="36"/>
  <c r="R47" i="36"/>
  <c r="S47" i="36"/>
  <c r="T47" i="36"/>
  <c r="U47" i="36"/>
  <c r="J50" i="36"/>
  <c r="K50" i="36"/>
  <c r="L50" i="36"/>
  <c r="M50" i="36"/>
  <c r="N50" i="36"/>
  <c r="O50" i="36"/>
  <c r="P50" i="36"/>
  <c r="Q50" i="36"/>
  <c r="R50" i="36"/>
  <c r="S50" i="36"/>
  <c r="T50" i="36"/>
  <c r="U50" i="36"/>
  <c r="J53" i="36"/>
  <c r="K53" i="36"/>
  <c r="L53" i="36"/>
  <c r="M53" i="36"/>
  <c r="N53" i="36"/>
  <c r="O53" i="36"/>
  <c r="P53" i="36"/>
  <c r="Q53" i="36"/>
  <c r="R53" i="36"/>
  <c r="S53" i="36"/>
  <c r="T53" i="36"/>
  <c r="U53" i="36"/>
  <c r="J55" i="36"/>
  <c r="K55" i="36"/>
  <c r="L55" i="36"/>
  <c r="M55" i="36"/>
  <c r="N55" i="36"/>
  <c r="O55" i="36"/>
  <c r="P55" i="36"/>
  <c r="Q55" i="36"/>
  <c r="R55" i="36"/>
  <c r="S55" i="36"/>
  <c r="T55" i="36"/>
  <c r="U55" i="36"/>
  <c r="J58" i="36"/>
  <c r="K58" i="36"/>
  <c r="L58" i="36"/>
  <c r="M58" i="36"/>
  <c r="N58" i="36"/>
  <c r="O58" i="36"/>
  <c r="P58" i="36"/>
  <c r="Q58" i="36"/>
  <c r="R58" i="36"/>
  <c r="S58" i="36"/>
  <c r="T58" i="36"/>
  <c r="U58" i="36"/>
  <c r="J61" i="36"/>
  <c r="K61" i="36"/>
  <c r="L61" i="36"/>
  <c r="M61" i="36"/>
  <c r="N61" i="36"/>
  <c r="O61" i="36"/>
  <c r="P61" i="36"/>
  <c r="Q61" i="36"/>
  <c r="R61" i="36"/>
  <c r="S61" i="36"/>
  <c r="T61" i="36"/>
  <c r="U61" i="36"/>
  <c r="J64" i="36"/>
  <c r="K64" i="36"/>
  <c r="L64" i="36"/>
  <c r="M64" i="36"/>
  <c r="N64" i="36"/>
  <c r="O64" i="36"/>
  <c r="P64" i="36"/>
  <c r="Q64" i="36"/>
  <c r="R64" i="36"/>
  <c r="S64" i="36"/>
  <c r="T64" i="36"/>
  <c r="U64" i="36"/>
  <c r="J70" i="36"/>
  <c r="K70" i="36"/>
  <c r="L70" i="36"/>
  <c r="M70" i="36"/>
  <c r="Z70" i="36" s="1"/>
  <c r="N70" i="36"/>
  <c r="O70" i="36"/>
  <c r="P70" i="36"/>
  <c r="Q70" i="36"/>
  <c r="R70" i="36"/>
  <c r="S70" i="36"/>
  <c r="T70" i="36"/>
  <c r="U70" i="36"/>
  <c r="J76" i="36"/>
  <c r="K76" i="36"/>
  <c r="L76" i="36"/>
  <c r="M76" i="36"/>
  <c r="N76" i="36"/>
  <c r="O76" i="36"/>
  <c r="P76" i="36"/>
  <c r="Q76" i="36"/>
  <c r="R76" i="36"/>
  <c r="S76" i="36"/>
  <c r="T76" i="36"/>
  <c r="U76" i="36"/>
  <c r="J79" i="36"/>
  <c r="K79" i="36"/>
  <c r="L79" i="36"/>
  <c r="M79" i="36"/>
  <c r="N79" i="36"/>
  <c r="O79" i="36"/>
  <c r="P79" i="36"/>
  <c r="Q79" i="36"/>
  <c r="R79" i="36"/>
  <c r="S79" i="36"/>
  <c r="T79" i="36"/>
  <c r="U79" i="36"/>
  <c r="J82" i="36"/>
  <c r="J113" i="36" s="1"/>
  <c r="K82" i="36"/>
  <c r="K113" i="36" s="1"/>
  <c r="L82" i="36"/>
  <c r="L113" i="36" s="1"/>
  <c r="L25" i="36" s="1"/>
  <c r="M82" i="36"/>
  <c r="M113" i="36" s="1"/>
  <c r="M25" i="36" s="1"/>
  <c r="N82" i="36"/>
  <c r="N113" i="36" s="1"/>
  <c r="O82" i="36"/>
  <c r="O113" i="36" s="1"/>
  <c r="P82" i="36"/>
  <c r="P113" i="36" s="1"/>
  <c r="Q82" i="36"/>
  <c r="Q113" i="36" s="1"/>
  <c r="Q25" i="36" s="1"/>
  <c r="R82" i="36"/>
  <c r="R113" i="36" s="1"/>
  <c r="S82" i="36"/>
  <c r="S113" i="36" s="1"/>
  <c r="T82" i="36"/>
  <c r="T113" i="36" s="1"/>
  <c r="U82" i="36"/>
  <c r="U113" i="36" s="1"/>
  <c r="J85" i="36"/>
  <c r="K85" i="36"/>
  <c r="L85" i="36"/>
  <c r="M85" i="36"/>
  <c r="N85" i="36"/>
  <c r="O85" i="36"/>
  <c r="P85" i="36"/>
  <c r="Q85" i="36"/>
  <c r="R85" i="36"/>
  <c r="S85" i="36"/>
  <c r="T85" i="36"/>
  <c r="U85" i="36"/>
  <c r="J88" i="36"/>
  <c r="K88" i="36"/>
  <c r="L88" i="36"/>
  <c r="M88" i="36"/>
  <c r="N88" i="36"/>
  <c r="O88" i="36"/>
  <c r="P88" i="36"/>
  <c r="Q88" i="36"/>
  <c r="R88" i="36"/>
  <c r="S88" i="36"/>
  <c r="T88" i="36"/>
  <c r="U88" i="36"/>
  <c r="J91" i="36"/>
  <c r="K91" i="36"/>
  <c r="L91" i="36"/>
  <c r="M91" i="36"/>
  <c r="N91" i="36"/>
  <c r="O91" i="36"/>
  <c r="P91" i="36"/>
  <c r="Q91" i="36"/>
  <c r="R91" i="36"/>
  <c r="S91" i="36"/>
  <c r="T91" i="36"/>
  <c r="U91" i="36"/>
  <c r="J94" i="36"/>
  <c r="K94" i="36"/>
  <c r="L94" i="36"/>
  <c r="M94" i="36"/>
  <c r="N94" i="36"/>
  <c r="O94" i="36"/>
  <c r="P94" i="36"/>
  <c r="Q94" i="36"/>
  <c r="R94" i="36"/>
  <c r="S94" i="36"/>
  <c r="T94" i="36"/>
  <c r="U94" i="36"/>
  <c r="J97" i="36"/>
  <c r="K97" i="36"/>
  <c r="L97" i="36"/>
  <c r="M97" i="36"/>
  <c r="N97" i="36"/>
  <c r="O97" i="36"/>
  <c r="P97" i="36"/>
  <c r="Q97" i="36"/>
  <c r="R97" i="36"/>
  <c r="S97" i="36"/>
  <c r="T97" i="36"/>
  <c r="U97" i="36"/>
  <c r="J100" i="36"/>
  <c r="K100" i="36"/>
  <c r="L100" i="36"/>
  <c r="M100" i="36"/>
  <c r="N100" i="36"/>
  <c r="O100" i="36"/>
  <c r="P100" i="36"/>
  <c r="Q100" i="36"/>
  <c r="R100" i="36"/>
  <c r="S100" i="36"/>
  <c r="T100" i="36"/>
  <c r="U100" i="36"/>
  <c r="J34" i="36"/>
  <c r="K34" i="36"/>
  <c r="L34" i="36"/>
  <c r="M34" i="36"/>
  <c r="Z34" i="36" s="1"/>
  <c r="N34" i="36"/>
  <c r="O34" i="36"/>
  <c r="P34" i="36"/>
  <c r="Q34" i="36"/>
  <c r="R34" i="36"/>
  <c r="S34" i="36"/>
  <c r="T34" i="36"/>
  <c r="U34" i="36"/>
  <c r="J37" i="36"/>
  <c r="K37" i="36"/>
  <c r="L37" i="36"/>
  <c r="M37" i="36"/>
  <c r="N37" i="36"/>
  <c r="O37" i="36"/>
  <c r="P37" i="36"/>
  <c r="Q37" i="36"/>
  <c r="R37" i="36"/>
  <c r="S37" i="36"/>
  <c r="T37" i="36"/>
  <c r="U37" i="36"/>
  <c r="J40" i="36"/>
  <c r="K40" i="36"/>
  <c r="L40" i="36"/>
  <c r="M40" i="36"/>
  <c r="O40" i="36"/>
  <c r="P40" i="36"/>
  <c r="Q40" i="36"/>
  <c r="R40" i="36"/>
  <c r="S40" i="36"/>
  <c r="T40" i="36"/>
  <c r="U40" i="36"/>
  <c r="J43" i="36"/>
  <c r="K43" i="36"/>
  <c r="L43" i="36"/>
  <c r="M43" i="36"/>
  <c r="O43" i="36"/>
  <c r="P43" i="36"/>
  <c r="Q43" i="36"/>
  <c r="R43" i="36"/>
  <c r="S43" i="36"/>
  <c r="T43" i="36"/>
  <c r="U43" i="36"/>
  <c r="J46" i="36"/>
  <c r="K46" i="36"/>
  <c r="L46" i="36"/>
  <c r="M46" i="36"/>
  <c r="N46" i="36"/>
  <c r="O46" i="36"/>
  <c r="P46" i="36"/>
  <c r="Q46" i="36"/>
  <c r="R46" i="36"/>
  <c r="S46" i="36"/>
  <c r="T46" i="36"/>
  <c r="U46" i="36"/>
  <c r="J49" i="36"/>
  <c r="K49" i="36"/>
  <c r="L49" i="36"/>
  <c r="M49" i="36"/>
  <c r="N49" i="36"/>
  <c r="O49" i="36"/>
  <c r="P49" i="36"/>
  <c r="Q49" i="36"/>
  <c r="R49" i="36"/>
  <c r="S49" i="36"/>
  <c r="T49" i="36"/>
  <c r="U49" i="36"/>
  <c r="J52" i="36"/>
  <c r="K52" i="36"/>
  <c r="L52" i="36"/>
  <c r="M52" i="36"/>
  <c r="N52" i="36"/>
  <c r="O52" i="36"/>
  <c r="P52" i="36"/>
  <c r="Q52" i="36"/>
  <c r="R52" i="36"/>
  <c r="S52" i="36"/>
  <c r="T52" i="36"/>
  <c r="U52" i="36"/>
  <c r="Z230" i="36"/>
  <c r="Z120" i="36"/>
  <c r="Z124" i="36"/>
  <c r="Z302" i="36"/>
  <c r="Z304" i="36"/>
  <c r="L133" i="36"/>
  <c r="N137" i="36"/>
  <c r="K274" i="36"/>
  <c r="K222" i="36" s="1"/>
  <c r="R274" i="36"/>
  <c r="R222" i="36" s="1"/>
  <c r="S274" i="36"/>
  <c r="S222" i="36" s="1"/>
  <c r="T270" i="36"/>
  <c r="T218" i="36" s="1"/>
  <c r="M270" i="36"/>
  <c r="M218" i="36" s="1"/>
  <c r="N270" i="36"/>
  <c r="N218" i="36" s="1"/>
  <c r="U268" i="36"/>
  <c r="U270" i="36"/>
  <c r="U218" i="36" s="1"/>
  <c r="L270" i="36"/>
  <c r="L218" i="36" s="1"/>
  <c r="P268" i="36"/>
  <c r="J54" i="36"/>
  <c r="K54" i="36"/>
  <c r="L54" i="36"/>
  <c r="M54" i="36"/>
  <c r="N54" i="36"/>
  <c r="O54" i="36"/>
  <c r="P54" i="36"/>
  <c r="Q54" i="36"/>
  <c r="R54" i="36"/>
  <c r="S54" i="36"/>
  <c r="T54" i="36"/>
  <c r="U54" i="36"/>
  <c r="J57" i="36"/>
  <c r="K57" i="36"/>
  <c r="L57" i="36"/>
  <c r="M57" i="36"/>
  <c r="N57" i="36"/>
  <c r="O57" i="36"/>
  <c r="P57" i="36"/>
  <c r="Q57" i="36"/>
  <c r="R57" i="36"/>
  <c r="S57" i="36"/>
  <c r="T57" i="36"/>
  <c r="U57" i="36"/>
  <c r="J60" i="36"/>
  <c r="K60" i="36"/>
  <c r="L60" i="36"/>
  <c r="M60" i="36"/>
  <c r="N60" i="36"/>
  <c r="O60" i="36"/>
  <c r="P60" i="36"/>
  <c r="Q60" i="36"/>
  <c r="R60" i="36"/>
  <c r="S60" i="36"/>
  <c r="T60" i="36"/>
  <c r="U60" i="36"/>
  <c r="J63" i="36"/>
  <c r="K63" i="36"/>
  <c r="L63" i="36"/>
  <c r="M63" i="36"/>
  <c r="N63" i="36"/>
  <c r="O63" i="36"/>
  <c r="P63" i="36"/>
  <c r="Q63" i="36"/>
  <c r="R63" i="36"/>
  <c r="S63" i="36"/>
  <c r="T63" i="36"/>
  <c r="U63" i="36"/>
  <c r="J69" i="36"/>
  <c r="K69" i="36"/>
  <c r="L69" i="36"/>
  <c r="M69" i="36"/>
  <c r="N69" i="36"/>
  <c r="O69" i="36"/>
  <c r="P69" i="36"/>
  <c r="Q69" i="36"/>
  <c r="R69" i="36"/>
  <c r="S69" i="36"/>
  <c r="T69" i="36"/>
  <c r="U69" i="36"/>
  <c r="J75" i="36"/>
  <c r="K75" i="36"/>
  <c r="L75" i="36"/>
  <c r="M75" i="36"/>
  <c r="N75" i="36"/>
  <c r="O75" i="36"/>
  <c r="P75" i="36"/>
  <c r="Q75" i="36"/>
  <c r="R75" i="36"/>
  <c r="S75" i="36"/>
  <c r="T75" i="36"/>
  <c r="U75" i="36"/>
  <c r="J78" i="36"/>
  <c r="K78" i="36"/>
  <c r="L78" i="36"/>
  <c r="M78" i="36"/>
  <c r="N78" i="36"/>
  <c r="O78" i="36"/>
  <c r="P78" i="36"/>
  <c r="Q78" i="36"/>
  <c r="R78" i="36"/>
  <c r="S78" i="36"/>
  <c r="T78" i="36"/>
  <c r="U78" i="36"/>
  <c r="J81" i="36"/>
  <c r="J109" i="36" s="1"/>
  <c r="K81" i="36"/>
  <c r="K109" i="36" s="1"/>
  <c r="L81" i="36"/>
  <c r="L109" i="36" s="1"/>
  <c r="M81" i="36"/>
  <c r="M109" i="36" s="1"/>
  <c r="M21" i="36" s="1"/>
  <c r="N81" i="36"/>
  <c r="N109" i="36" s="1"/>
  <c r="O81" i="36"/>
  <c r="O109" i="36" s="1"/>
  <c r="P81" i="36"/>
  <c r="P109" i="36" s="1"/>
  <c r="P21" i="36" s="1"/>
  <c r="Q81" i="36"/>
  <c r="Q109" i="36" s="1"/>
  <c r="R81" i="36"/>
  <c r="R109" i="36" s="1"/>
  <c r="S81" i="36"/>
  <c r="S109" i="36" s="1"/>
  <c r="T81" i="36"/>
  <c r="T109" i="36" s="1"/>
  <c r="U81" i="36"/>
  <c r="U109" i="36" s="1"/>
  <c r="U21" i="36" s="1"/>
  <c r="J84" i="36"/>
  <c r="K84" i="36"/>
  <c r="L84" i="36"/>
  <c r="M84" i="36"/>
  <c r="N84" i="36"/>
  <c r="O84" i="36"/>
  <c r="P84" i="36"/>
  <c r="Q84" i="36"/>
  <c r="R84" i="36"/>
  <c r="S84" i="36"/>
  <c r="T84" i="36"/>
  <c r="U84" i="36"/>
  <c r="J87" i="36"/>
  <c r="K87" i="36"/>
  <c r="L87" i="36"/>
  <c r="M87" i="36"/>
  <c r="N87" i="36"/>
  <c r="O87" i="36"/>
  <c r="P87" i="36"/>
  <c r="Q87" i="36"/>
  <c r="R87" i="36"/>
  <c r="S87" i="36"/>
  <c r="T87" i="36"/>
  <c r="U87" i="36"/>
  <c r="J90" i="36"/>
  <c r="K90" i="36"/>
  <c r="L90" i="36"/>
  <c r="M90" i="36"/>
  <c r="N90" i="36"/>
  <c r="O90" i="36"/>
  <c r="P90" i="36"/>
  <c r="Q90" i="36"/>
  <c r="R90" i="36"/>
  <c r="S90" i="36"/>
  <c r="T90" i="36"/>
  <c r="U90" i="36"/>
  <c r="J93" i="36"/>
  <c r="K93" i="36"/>
  <c r="L93" i="36"/>
  <c r="M93" i="36"/>
  <c r="N93" i="36"/>
  <c r="O93" i="36"/>
  <c r="P93" i="36"/>
  <c r="Q93" i="36"/>
  <c r="R93" i="36"/>
  <c r="S93" i="36"/>
  <c r="T93" i="36"/>
  <c r="U93" i="36"/>
  <c r="J96" i="36"/>
  <c r="K96" i="36"/>
  <c r="L96" i="36"/>
  <c r="M96" i="36"/>
  <c r="N96" i="36"/>
  <c r="O96" i="36"/>
  <c r="P96" i="36"/>
  <c r="Q96" i="36"/>
  <c r="R96" i="36"/>
  <c r="S96" i="36"/>
  <c r="T96" i="36"/>
  <c r="U96" i="36"/>
  <c r="J99" i="36"/>
  <c r="K99" i="36"/>
  <c r="L99" i="36"/>
  <c r="M99" i="36"/>
  <c r="N99" i="36"/>
  <c r="O99" i="36"/>
  <c r="P99" i="36"/>
  <c r="Q99" i="36"/>
  <c r="R99" i="36"/>
  <c r="S99" i="36"/>
  <c r="T99" i="36"/>
  <c r="U99" i="36"/>
  <c r="J33" i="36"/>
  <c r="K33" i="36"/>
  <c r="L33" i="36"/>
  <c r="M33" i="36"/>
  <c r="N33" i="36"/>
  <c r="O33" i="36"/>
  <c r="Z33" i="36" s="1"/>
  <c r="P33" i="36"/>
  <c r="Q33" i="36"/>
  <c r="R33" i="36"/>
  <c r="S33" i="36"/>
  <c r="T33" i="36"/>
  <c r="U33" i="36"/>
  <c r="J36" i="36"/>
  <c r="K36" i="36"/>
  <c r="L36" i="36"/>
  <c r="M36" i="36"/>
  <c r="N36" i="36"/>
  <c r="O36" i="36"/>
  <c r="P36" i="36"/>
  <c r="Q36" i="36"/>
  <c r="R36" i="36"/>
  <c r="S36" i="36"/>
  <c r="T36" i="36"/>
  <c r="U36" i="36"/>
  <c r="J39" i="36"/>
  <c r="K39" i="36"/>
  <c r="L39" i="36"/>
  <c r="M39" i="36"/>
  <c r="N39" i="36"/>
  <c r="O39" i="36"/>
  <c r="P39" i="36"/>
  <c r="Q39" i="36"/>
  <c r="R39" i="36"/>
  <c r="S39" i="36"/>
  <c r="T39" i="36"/>
  <c r="U39" i="36"/>
  <c r="J42" i="36"/>
  <c r="K42" i="36"/>
  <c r="L42" i="36"/>
  <c r="M42" i="36"/>
  <c r="N42" i="36"/>
  <c r="O42" i="36"/>
  <c r="P42" i="36"/>
  <c r="Q42" i="36"/>
  <c r="R42" i="36"/>
  <c r="S42" i="36"/>
  <c r="T42" i="36"/>
  <c r="U42" i="36"/>
  <c r="K45" i="36"/>
  <c r="L45" i="36"/>
  <c r="M45" i="36"/>
  <c r="N45" i="36"/>
  <c r="O45" i="36"/>
  <c r="P45" i="36"/>
  <c r="Q45" i="36"/>
  <c r="R45" i="36"/>
  <c r="S45" i="36"/>
  <c r="T45" i="36"/>
  <c r="U45" i="36"/>
  <c r="J48" i="36"/>
  <c r="K48" i="36"/>
  <c r="L48" i="36"/>
  <c r="M48" i="36"/>
  <c r="N48" i="36"/>
  <c r="O48" i="36"/>
  <c r="P48" i="36"/>
  <c r="Q48" i="36"/>
  <c r="R48" i="36"/>
  <c r="S48" i="36"/>
  <c r="T48" i="36"/>
  <c r="U48" i="36"/>
  <c r="J51" i="36"/>
  <c r="K51" i="36"/>
  <c r="L51" i="36"/>
  <c r="M51" i="36"/>
  <c r="N51" i="36"/>
  <c r="O51" i="36"/>
  <c r="P51" i="36"/>
  <c r="Q51" i="36"/>
  <c r="R51" i="36"/>
  <c r="S51" i="36"/>
  <c r="T51" i="36"/>
  <c r="U51" i="36"/>
  <c r="AR4" i="39"/>
  <c r="AR5" i="39"/>
  <c r="AR6" i="39"/>
  <c r="M7" i="39"/>
  <c r="AR7" i="39"/>
  <c r="AR8" i="39"/>
  <c r="AR9" i="39"/>
  <c r="AR10" i="39"/>
  <c r="AG11" i="39"/>
  <c r="AG64" i="39" s="1"/>
  <c r="AH11" i="39"/>
  <c r="AH64" i="39" s="1"/>
  <c r="AI11" i="39"/>
  <c r="AI64" i="39" s="1"/>
  <c r="T13" i="39"/>
  <c r="AF14" i="39"/>
  <c r="AG14" i="39"/>
  <c r="AH14" i="39"/>
  <c r="AI14" i="39"/>
  <c r="AI18" i="39" s="1"/>
  <c r="AJ14" i="39"/>
  <c r="AK14" i="39"/>
  <c r="AL14" i="39"/>
  <c r="AM14" i="39"/>
  <c r="AN14" i="39"/>
  <c r="AO14" i="39"/>
  <c r="AP14" i="39"/>
  <c r="AQ14" i="39"/>
  <c r="AG15" i="39"/>
  <c r="AH15" i="39"/>
  <c r="AI15" i="39"/>
  <c r="AJ15" i="39"/>
  <c r="AK15" i="39"/>
  <c r="AL15" i="39"/>
  <c r="AM15" i="39"/>
  <c r="AM18" i="39" s="1"/>
  <c r="AN15" i="39"/>
  <c r="AO15" i="39"/>
  <c r="AP15" i="39"/>
  <c r="AQ15" i="39"/>
  <c r="AF16" i="39"/>
  <c r="AG16" i="39"/>
  <c r="AH16" i="39"/>
  <c r="AI16" i="39"/>
  <c r="AJ16" i="39"/>
  <c r="AJ18" i="39" s="1"/>
  <c r="AK16" i="39"/>
  <c r="AL16" i="39"/>
  <c r="AM16" i="39"/>
  <c r="AN16" i="39"/>
  <c r="AO16" i="39"/>
  <c r="AP16" i="39"/>
  <c r="AQ16" i="39"/>
  <c r="AF17" i="39"/>
  <c r="AG17" i="39"/>
  <c r="AH17" i="39"/>
  <c r="AI17" i="39"/>
  <c r="AJ17" i="39"/>
  <c r="AK17" i="39"/>
  <c r="AL17" i="39"/>
  <c r="AM17" i="39"/>
  <c r="AN17" i="39"/>
  <c r="AO17" i="39"/>
  <c r="AP17" i="39"/>
  <c r="AQ17" i="39"/>
  <c r="V18" i="39"/>
  <c r="W18" i="39"/>
  <c r="X18" i="39"/>
  <c r="Y18" i="39"/>
  <c r="Z18" i="39"/>
  <c r="AA18" i="39"/>
  <c r="AB18" i="39"/>
  <c r="AC18" i="39"/>
  <c r="AD18" i="39"/>
  <c r="AE18" i="39"/>
  <c r="K23" i="39"/>
  <c r="M23" i="39"/>
  <c r="AR23" i="39"/>
  <c r="K24" i="39"/>
  <c r="P24" i="39"/>
  <c r="AR24" i="39"/>
  <c r="K25" i="39"/>
  <c r="AR25" i="39"/>
  <c r="K26" i="39"/>
  <c r="AR26" i="39"/>
  <c r="K27" i="39"/>
  <c r="M27" i="39" s="1"/>
  <c r="P27" i="39"/>
  <c r="P29" i="39" s="1"/>
  <c r="AR27" i="39"/>
  <c r="K29" i="39"/>
  <c r="M29" i="39" s="1"/>
  <c r="AR29" i="39"/>
  <c r="K30" i="39"/>
  <c r="M30" i="39" s="1"/>
  <c r="P30" i="39"/>
  <c r="AR30" i="39"/>
  <c r="K31" i="39"/>
  <c r="M31" i="39" s="1"/>
  <c r="P31" i="39"/>
  <c r="AR31" i="39"/>
  <c r="K33" i="39"/>
  <c r="AR33" i="39"/>
  <c r="K34" i="39"/>
  <c r="M34" i="39" s="1"/>
  <c r="P34" i="39"/>
  <c r="P35" i="39" s="1"/>
  <c r="AR34" i="39"/>
  <c r="K35" i="39"/>
  <c r="M35" i="39" s="1"/>
  <c r="AR35" i="39"/>
  <c r="K36" i="39"/>
  <c r="M36" i="39" s="1"/>
  <c r="AR36" i="39"/>
  <c r="K37" i="39"/>
  <c r="M37" i="39"/>
  <c r="K32" i="39"/>
  <c r="M32" i="39" s="1"/>
  <c r="AR32" i="39"/>
  <c r="AR43" i="39"/>
  <c r="AH51" i="39"/>
  <c r="AI80" i="39"/>
  <c r="AR54" i="39"/>
  <c r="AF44" i="39"/>
  <c r="AG44" i="39"/>
  <c r="AG46" i="39" s="1"/>
  <c r="AH44" i="39"/>
  <c r="AH46" i="39" s="1"/>
  <c r="AI44" i="39"/>
  <c r="AI46" i="39" s="1"/>
  <c r="AJ44" i="39"/>
  <c r="AJ46" i="39" s="1"/>
  <c r="AK44" i="39"/>
  <c r="AK46" i="39" s="1"/>
  <c r="AL44" i="39"/>
  <c r="AL46" i="39" s="1"/>
  <c r="AM44" i="39"/>
  <c r="AM46" i="39" s="1"/>
  <c r="AN44" i="39"/>
  <c r="AN65" i="39" s="1"/>
  <c r="AO44" i="39"/>
  <c r="AO46" i="39" s="1"/>
  <c r="AP44" i="39"/>
  <c r="AQ44" i="39"/>
  <c r="AQ46" i="39" s="1"/>
  <c r="T50" i="39"/>
  <c r="V55" i="39"/>
  <c r="W55" i="39"/>
  <c r="X55" i="39"/>
  <c r="Y55" i="39"/>
  <c r="Z55" i="39"/>
  <c r="AA55" i="39"/>
  <c r="AB55" i="39"/>
  <c r="AC55" i="39"/>
  <c r="AD55" i="39"/>
  <c r="AE55" i="39"/>
  <c r="T58" i="39"/>
  <c r="V63" i="39"/>
  <c r="W63" i="39"/>
  <c r="X63" i="39"/>
  <c r="Y63" i="39"/>
  <c r="Z63" i="39"/>
  <c r="AA63" i="39"/>
  <c r="AB63" i="39"/>
  <c r="AC63" i="39"/>
  <c r="AD63" i="39"/>
  <c r="AE63" i="39"/>
  <c r="AJ64" i="39"/>
  <c r="AK64" i="39"/>
  <c r="AL64" i="39"/>
  <c r="AM64" i="39"/>
  <c r="AN64" i="39"/>
  <c r="AO64" i="39"/>
  <c r="AP64" i="39"/>
  <c r="AP65" i="39" s="1"/>
  <c r="AQ64" i="39"/>
  <c r="AF72" i="39"/>
  <c r="AF74" i="39" s="1"/>
  <c r="AG72" i="39"/>
  <c r="AG74" i="39" s="1"/>
  <c r="AH72" i="39"/>
  <c r="AH74" i="39" s="1"/>
  <c r="AI72" i="39"/>
  <c r="AI74" i="39" s="1"/>
  <c r="AJ72" i="39"/>
  <c r="AJ74" i="39" s="1"/>
  <c r="AK72" i="39"/>
  <c r="AK74" i="39" s="1"/>
  <c r="AL72" i="39"/>
  <c r="AL74" i="39" s="1"/>
  <c r="AM72" i="39"/>
  <c r="AM74" i="39" s="1"/>
  <c r="AN72" i="39"/>
  <c r="AN74" i="39"/>
  <c r="AO72" i="39"/>
  <c r="AO74" i="39" s="1"/>
  <c r="AP72" i="39"/>
  <c r="AQ72" i="39"/>
  <c r="L78" i="39"/>
  <c r="Q95" i="39"/>
  <c r="AG96" i="39"/>
  <c r="AH96" i="39"/>
  <c r="AI96" i="39"/>
  <c r="AJ96" i="39"/>
  <c r="AK96" i="39"/>
  <c r="AL96" i="39"/>
  <c r="AM96" i="39"/>
  <c r="AM98" i="39" s="1"/>
  <c r="AN96" i="39"/>
  <c r="AO96" i="39"/>
  <c r="AP96" i="39"/>
  <c r="AQ96" i="39"/>
  <c r="AQ98" i="39" s="1"/>
  <c r="AO106" i="39"/>
  <c r="AP106" i="39"/>
  <c r="G107" i="39"/>
  <c r="AL107" i="39" s="1"/>
  <c r="AF108" i="39"/>
  <c r="AO108" i="39"/>
  <c r="AP108" i="39"/>
  <c r="Q155" i="36"/>
  <c r="AA157" i="36"/>
  <c r="L155" i="36"/>
  <c r="Z161" i="36"/>
  <c r="L159" i="36"/>
  <c r="T155" i="36"/>
  <c r="Y158" i="36"/>
  <c r="S155" i="36"/>
  <c r="P155" i="36"/>
  <c r="AA158" i="36"/>
  <c r="P159" i="36"/>
  <c r="Y162" i="36"/>
  <c r="Y156" i="36"/>
  <c r="AB158" i="36"/>
  <c r="AB162" i="36"/>
  <c r="Z139" i="36"/>
  <c r="R272" i="36"/>
  <c r="R220" i="36" s="1"/>
  <c r="AF15" i="39"/>
  <c r="AN108" i="39"/>
  <c r="AH108" i="39"/>
  <c r="AH106" i="39"/>
  <c r="AI106" i="39"/>
  <c r="AG108" i="39"/>
  <c r="AG106" i="39"/>
  <c r="AQ106" i="39"/>
  <c r="AF87" i="39"/>
  <c r="AM93" i="39"/>
  <c r="AQ83" i="39"/>
  <c r="AP93" i="39"/>
  <c r="P81" i="39"/>
  <c r="AK93" i="39"/>
  <c r="AK92" i="39"/>
  <c r="AH92" i="39"/>
  <c r="AF52" i="39"/>
  <c r="AN91" i="39"/>
  <c r="AO94" i="39"/>
  <c r="AH93" i="39"/>
  <c r="AI91" i="39"/>
  <c r="AJ94" i="39"/>
  <c r="P93" i="39"/>
  <c r="AO89" i="39"/>
  <c r="AM94" i="39"/>
  <c r="AM90" i="39"/>
  <c r="AG94" i="39"/>
  <c r="AO92" i="39"/>
  <c r="AO88" i="39"/>
  <c r="AK94" i="39"/>
  <c r="AQ93" i="39"/>
  <c r="AI93" i="39"/>
  <c r="AP92" i="39"/>
  <c r="AF92" i="39"/>
  <c r="P91" i="39"/>
  <c r="AM87" i="39"/>
  <c r="AQ94" i="39"/>
  <c r="AI94" i="39"/>
  <c r="AO93" i="39"/>
  <c r="AG93" i="39"/>
  <c r="AN92" i="39"/>
  <c r="AI90" i="39"/>
  <c r="AF86" i="39"/>
  <c r="AP94" i="39"/>
  <c r="AH94" i="39"/>
  <c r="AN93" i="39"/>
  <c r="AF93" i="39"/>
  <c r="AM92" i="39"/>
  <c r="AP91" i="39"/>
  <c r="AN84" i="39"/>
  <c r="AN94" i="39"/>
  <c r="AF94" i="39"/>
  <c r="AL93" i="39"/>
  <c r="AJ92" i="39"/>
  <c r="AL91" i="39"/>
  <c r="AG89" i="39"/>
  <c r="AJ82" i="39"/>
  <c r="AL94" i="39"/>
  <c r="AJ93" i="39"/>
  <c r="AQ92" i="39"/>
  <c r="AG92" i="39"/>
  <c r="AG88" i="39"/>
  <c r="AQ54" i="39"/>
  <c r="AQ62" i="39" s="1"/>
  <c r="AJ91" i="39"/>
  <c r="AO90" i="39"/>
  <c r="AP89" i="39"/>
  <c r="AI88" i="39"/>
  <c r="AN86" i="39"/>
  <c r="AO82" i="39"/>
  <c r="AL92" i="39"/>
  <c r="AQ91" i="39"/>
  <c r="AH91" i="39"/>
  <c r="AK90" i="39"/>
  <c r="AK89" i="39"/>
  <c r="AP85" i="39"/>
  <c r="AM81" i="39"/>
  <c r="AF91" i="39"/>
  <c r="AJ90" i="39"/>
  <c r="AI89" i="39"/>
  <c r="AO87" i="39"/>
  <c r="AK85" i="39"/>
  <c r="AH81" i="39"/>
  <c r="AM91" i="39"/>
  <c r="AG90" i="39"/>
  <c r="AQ88" i="39"/>
  <c r="AK87" i="39"/>
  <c r="AI84" i="39"/>
  <c r="AG80" i="39"/>
  <c r="AK91" i="39"/>
  <c r="AQ90" i="39"/>
  <c r="AQ89" i="39"/>
  <c r="AM88" i="39"/>
  <c r="AG83" i="39"/>
  <c r="AP90" i="39"/>
  <c r="AH90" i="39"/>
  <c r="AN89" i="39"/>
  <c r="AF89" i="39"/>
  <c r="AL88" i="39"/>
  <c r="AI87" i="39"/>
  <c r="AM86" i="39"/>
  <c r="AH85" i="39"/>
  <c r="AO83" i="39"/>
  <c r="AG82" i="39"/>
  <c r="AO80" i="39"/>
  <c r="AM89" i="39"/>
  <c r="AK88" i="39"/>
  <c r="AQ87" i="39"/>
  <c r="AH87" i="39"/>
  <c r="AL86" i="39"/>
  <c r="AL83" i="39"/>
  <c r="AL80" i="39"/>
  <c r="AI92" i="39"/>
  <c r="AO91" i="39"/>
  <c r="AG91" i="39"/>
  <c r="AN90" i="39"/>
  <c r="AF90" i="39"/>
  <c r="AL89" i="39"/>
  <c r="AJ88" i="39"/>
  <c r="AP87" i="39"/>
  <c r="AG87" i="39"/>
  <c r="AI86" i="39"/>
  <c r="AQ84" i="39"/>
  <c r="AI83" i="39"/>
  <c r="AP81" i="39"/>
  <c r="AJ80" i="39"/>
  <c r="AL90" i="39"/>
  <c r="AJ89" i="39"/>
  <c r="AP88" i="39"/>
  <c r="AH88" i="39"/>
  <c r="AN87" i="39"/>
  <c r="AK84" i="39"/>
  <c r="AK81" i="39"/>
  <c r="AH89" i="39"/>
  <c r="AN88" i="39"/>
  <c r="AF88" i="39"/>
  <c r="AL87" i="39"/>
  <c r="AQ86" i="39"/>
  <c r="AM85" i="39"/>
  <c r="AF84" i="39"/>
  <c r="AM82" i="39"/>
  <c r="P90" i="39"/>
  <c r="AJ86" i="39"/>
  <c r="AQ85" i="39"/>
  <c r="AI85" i="39"/>
  <c r="AO84" i="39"/>
  <c r="AG84" i="39"/>
  <c r="AM83" i="39"/>
  <c r="AK82" i="39"/>
  <c r="AQ81" i="39"/>
  <c r="AI81" i="39"/>
  <c r="AP80" i="39"/>
  <c r="AH80" i="39"/>
  <c r="AJ87" i="39"/>
  <c r="AP86" i="39"/>
  <c r="AH86" i="39"/>
  <c r="AO85" i="39"/>
  <c r="AG85" i="39"/>
  <c r="AM84" i="39"/>
  <c r="AK83" i="39"/>
  <c r="AQ82" i="39"/>
  <c r="AI82" i="39"/>
  <c r="AO81" i="39"/>
  <c r="AG81" i="39"/>
  <c r="AN80" i="39"/>
  <c r="AF80" i="39"/>
  <c r="AO86" i="39"/>
  <c r="AG86" i="39"/>
  <c r="AN85" i="39"/>
  <c r="AF85" i="39"/>
  <c r="AL84" i="39"/>
  <c r="AJ83" i="39"/>
  <c r="AP82" i="39"/>
  <c r="AH82" i="39"/>
  <c r="AN81" i="39"/>
  <c r="AF81" i="39"/>
  <c r="AM80" i="39"/>
  <c r="AL85" i="39"/>
  <c r="AJ84" i="39"/>
  <c r="AP83" i="39"/>
  <c r="AH83" i="39"/>
  <c r="AN82" i="39"/>
  <c r="AF82" i="39"/>
  <c r="AL81" i="39"/>
  <c r="AK80" i="39"/>
  <c r="P80" i="39"/>
  <c r="AK86" i="39"/>
  <c r="P86" i="39"/>
  <c r="AJ85" i="39"/>
  <c r="AP84" i="39"/>
  <c r="AH84" i="39"/>
  <c r="AN83" i="39"/>
  <c r="AF83" i="39"/>
  <c r="AL82" i="39"/>
  <c r="AJ81" i="39"/>
  <c r="AQ80" i="39"/>
  <c r="AO65" i="39"/>
  <c r="AI54" i="39"/>
  <c r="AI62" i="39" s="1"/>
  <c r="AL53" i="39"/>
  <c r="AL61" i="39" s="1"/>
  <c r="AK53" i="39"/>
  <c r="AK61" i="39" s="1"/>
  <c r="AP51" i="39"/>
  <c r="J45" i="36"/>
  <c r="P82" i="39"/>
  <c r="AL18" i="39"/>
  <c r="P26" i="39"/>
  <c r="AJ54" i="39"/>
  <c r="AJ62" i="39" s="1"/>
  <c r="P32" i="39"/>
  <c r="M11" i="39"/>
  <c r="AN52" i="39"/>
  <c r="AO51" i="39"/>
  <c r="AO59" i="39" s="1"/>
  <c r="AN46" i="39"/>
  <c r="AF11" i="39"/>
  <c r="AR11" i="39" s="1"/>
  <c r="AF96" i="39"/>
  <c r="P92" i="39"/>
  <c r="AM52" i="39"/>
  <c r="AM65" i="39"/>
  <c r="P94" i="39"/>
  <c r="AI98" i="39"/>
  <c r="F83" i="39"/>
  <c r="F81" i="39"/>
  <c r="P83" i="39"/>
  <c r="AR107" i="39"/>
  <c r="M25" i="39"/>
  <c r="F93" i="39"/>
  <c r="P88" i="39"/>
  <c r="F91" i="39"/>
  <c r="AI51" i="39"/>
  <c r="AQ51" i="39"/>
  <c r="AG52" i="39"/>
  <c r="AG60" i="39"/>
  <c r="AO52" i="39"/>
  <c r="AO60" i="39" s="1"/>
  <c r="AM53" i="39"/>
  <c r="AM61" i="39" s="1"/>
  <c r="AK54" i="39"/>
  <c r="AJ106" i="39"/>
  <c r="AI108" i="39"/>
  <c r="AQ108" i="39"/>
  <c r="AJ108" i="39"/>
  <c r="AP54" i="39"/>
  <c r="AP62" i="39" s="1"/>
  <c r="AJ51" i="39"/>
  <c r="AJ59" i="39" s="1"/>
  <c r="AH52" i="39"/>
  <c r="AH60" i="39" s="1"/>
  <c r="AP52" i="39"/>
  <c r="AP60" i="39" s="1"/>
  <c r="AF53" i="39"/>
  <c r="AF61" i="39" s="1"/>
  <c r="AN53" i="39"/>
  <c r="AN61" i="39" s="1"/>
  <c r="AL54" i="39"/>
  <c r="AL62" i="39" s="1"/>
  <c r="U62" i="39"/>
  <c r="AK106" i="39"/>
  <c r="AK51" i="39"/>
  <c r="AK59" i="39" s="1"/>
  <c r="AI52" i="39"/>
  <c r="AI60" i="39" s="1"/>
  <c r="AQ52" i="39"/>
  <c r="AQ60" i="39" s="1"/>
  <c r="AG53" i="39"/>
  <c r="AO53" i="39"/>
  <c r="U54" i="39"/>
  <c r="T54" i="39" s="1"/>
  <c r="AM54" i="39"/>
  <c r="AM62" i="39" s="1"/>
  <c r="AL106" i="39"/>
  <c r="AK108" i="39"/>
  <c r="AN51" i="39"/>
  <c r="AN55" i="39" s="1"/>
  <c r="AL52" i="39"/>
  <c r="AL60" i="39" s="1"/>
  <c r="AJ53" i="39"/>
  <c r="AL51" i="39"/>
  <c r="AL56" i="39" s="1"/>
  <c r="AJ52" i="39"/>
  <c r="AJ60" i="39" s="1"/>
  <c r="AH53" i="39"/>
  <c r="AH61" i="39" s="1"/>
  <c r="AP53" i="39"/>
  <c r="AP61" i="39" s="1"/>
  <c r="AF54" i="39"/>
  <c r="AN54" i="39"/>
  <c r="AM106" i="39"/>
  <c r="AL108" i="39"/>
  <c r="AR53" i="39"/>
  <c r="AH54" i="39"/>
  <c r="AH62" i="39" s="1"/>
  <c r="U17" i="39"/>
  <c r="AM51" i="39"/>
  <c r="AM59" i="39" s="1"/>
  <c r="AK52" i="39"/>
  <c r="AK60" i="39" s="1"/>
  <c r="AI53" i="39"/>
  <c r="AQ53" i="39"/>
  <c r="AQ61" i="39" s="1"/>
  <c r="AG54" i="39"/>
  <c r="AG62" i="39" s="1"/>
  <c r="AO54" i="39"/>
  <c r="AO62" i="39" s="1"/>
  <c r="AF106" i="39"/>
  <c r="AN106" i="39"/>
  <c r="AM108" i="39"/>
  <c r="AF51" i="39"/>
  <c r="M26" i="39"/>
  <c r="F87" i="39"/>
  <c r="AG51" i="39"/>
  <c r="M24" i="39"/>
  <c r="F82" i="39"/>
  <c r="P87" i="39"/>
  <c r="F94" i="39"/>
  <c r="F92" i="39"/>
  <c r="F90" i="39"/>
  <c r="F89" i="39"/>
  <c r="F85" i="39"/>
  <c r="F84" i="39"/>
  <c r="P151" i="36"/>
  <c r="AA154" i="36"/>
  <c r="R151" i="36"/>
  <c r="W153" i="36"/>
  <c r="AB154" i="36"/>
  <c r="Z153" i="36"/>
  <c r="Y154" i="36"/>
  <c r="W154" i="36"/>
  <c r="AF60" i="39"/>
  <c r="AP56" i="39"/>
  <c r="AG59" i="39"/>
  <c r="J151" i="36"/>
  <c r="AQ34" i="38"/>
  <c r="AQ23" i="38"/>
  <c r="K23" i="38"/>
  <c r="AQ28" i="38"/>
  <c r="K28" i="38"/>
  <c r="AQ27" i="38"/>
  <c r="K27" i="38"/>
  <c r="M27" i="38" s="1"/>
  <c r="AQ26" i="38"/>
  <c r="K26" i="38"/>
  <c r="M26" i="38"/>
  <c r="AQ25" i="38"/>
  <c r="O25" i="38"/>
  <c r="O26" i="38"/>
  <c r="O27" i="38"/>
  <c r="K25" i="38"/>
  <c r="M25" i="38"/>
  <c r="AQ24" i="38"/>
  <c r="K24" i="38"/>
  <c r="M24" i="38" s="1"/>
  <c r="AQ22" i="38"/>
  <c r="O22" i="38"/>
  <c r="K22" i="38"/>
  <c r="AQ21" i="38"/>
  <c r="O21" i="38"/>
  <c r="K21" i="38"/>
  <c r="AQ20" i="38"/>
  <c r="K20" i="38"/>
  <c r="M20" i="38" s="1"/>
  <c r="AQ18" i="38"/>
  <c r="O18" i="38"/>
  <c r="O20" i="38" s="1"/>
  <c r="K18" i="38"/>
  <c r="M18" i="38" s="1"/>
  <c r="AQ17" i="38"/>
  <c r="K17" i="38"/>
  <c r="AQ16" i="38"/>
  <c r="K16" i="38"/>
  <c r="M16" i="38" s="1"/>
  <c r="AQ15" i="38"/>
  <c r="O15" i="38"/>
  <c r="K15" i="38"/>
  <c r="M15" i="38"/>
  <c r="AQ14" i="38"/>
  <c r="AQ35" i="38" s="1"/>
  <c r="K14" i="38"/>
  <c r="M14" i="38"/>
  <c r="AL11" i="38"/>
  <c r="AK11" i="38"/>
  <c r="AQ11" i="38" s="1"/>
  <c r="AJ11" i="38"/>
  <c r="AH11" i="38"/>
  <c r="AG11" i="38"/>
  <c r="AF11" i="38"/>
  <c r="AE11" i="38"/>
  <c r="AQ10" i="38"/>
  <c r="AQ9" i="38"/>
  <c r="AQ7" i="38"/>
  <c r="M6" i="38"/>
  <c r="AQ5" i="38"/>
  <c r="AQ6" i="38"/>
  <c r="N40" i="36"/>
  <c r="AE37" i="38"/>
  <c r="M21" i="38"/>
  <c r="AL37" i="38"/>
  <c r="M11" i="38"/>
  <c r="M17" i="38"/>
  <c r="M22" i="38"/>
  <c r="AM37" i="38"/>
  <c r="M28" i="38"/>
  <c r="AF37" i="38"/>
  <c r="AN37" i="38"/>
  <c r="O17" i="38"/>
  <c r="O23" i="38"/>
  <c r="AI11" i="38"/>
  <c r="AQ8" i="38"/>
  <c r="AH37" i="38"/>
  <c r="AP37" i="38"/>
  <c r="AI37" i="38"/>
  <c r="N155" i="36"/>
  <c r="K10" i="32"/>
  <c r="K6" i="32"/>
  <c r="K7" i="32"/>
  <c r="K5" i="32"/>
  <c r="K11" i="32"/>
  <c r="K8" i="32"/>
  <c r="K9" i="32"/>
  <c r="G4" i="16"/>
  <c r="K28" i="32"/>
  <c r="K22" i="32"/>
  <c r="K27" i="32"/>
  <c r="K26" i="32"/>
  <c r="K25" i="32"/>
  <c r="K24" i="32"/>
  <c r="K23" i="32"/>
  <c r="K21" i="32"/>
  <c r="K20" i="32"/>
  <c r="K19" i="32"/>
  <c r="K17" i="32"/>
  <c r="K15" i="32"/>
  <c r="K14" i="32"/>
  <c r="K13" i="32"/>
  <c r="K12" i="32"/>
  <c r="G3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P9" i="16"/>
  <c r="O9" i="16"/>
  <c r="N9" i="16"/>
  <c r="M9" i="16"/>
  <c r="L9" i="16"/>
  <c r="K9" i="16"/>
  <c r="J9" i="16"/>
  <c r="I9" i="16"/>
  <c r="H9" i="16"/>
  <c r="K13" i="16"/>
  <c r="I13" i="16"/>
  <c r="J13" i="16"/>
  <c r="L13" i="16"/>
  <c r="H13" i="16"/>
  <c r="M13" i="16"/>
  <c r="N13" i="16"/>
  <c r="O13" i="16"/>
  <c r="P13" i="16"/>
  <c r="S9" i="16"/>
  <c r="R9" i="16"/>
  <c r="Q9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R13" i="16"/>
  <c r="Q13" i="16"/>
  <c r="S13" i="16"/>
  <c r="R265" i="36"/>
  <c r="AA226" i="36"/>
  <c r="AA232" i="36"/>
  <c r="AA244" i="36"/>
  <c r="AA238" i="36"/>
  <c r="AA235" i="36"/>
  <c r="AA259" i="36"/>
  <c r="AB136" i="36"/>
  <c r="AA136" i="36"/>
  <c r="AB120" i="36"/>
  <c r="AA120" i="36"/>
  <c r="AA302" i="36"/>
  <c r="AB302" i="36"/>
  <c r="AA121" i="36"/>
  <c r="AA303" i="36"/>
  <c r="AB303" i="36"/>
  <c r="AB304" i="36"/>
  <c r="AA304" i="36"/>
  <c r="AA189" i="36"/>
  <c r="AA148" i="36"/>
  <c r="AA283" i="36"/>
  <c r="Q264" i="36" l="1"/>
  <c r="Q212" i="36" s="1"/>
  <c r="AB285" i="36"/>
  <c r="Z257" i="36"/>
  <c r="N268" i="36"/>
  <c r="AB257" i="36"/>
  <c r="AA285" i="36"/>
  <c r="AB284" i="36"/>
  <c r="AB260" i="36"/>
  <c r="Y280" i="36"/>
  <c r="N269" i="36"/>
  <c r="O293" i="36"/>
  <c r="AA251" i="36"/>
  <c r="AB250" i="36"/>
  <c r="AA248" i="36"/>
  <c r="E14" i="46"/>
  <c r="F14" i="46" s="1"/>
  <c r="Z236" i="36"/>
  <c r="J228" i="36"/>
  <c r="AB244" i="36"/>
  <c r="E7" i="46"/>
  <c r="F7" i="46" s="1"/>
  <c r="Y259" i="36"/>
  <c r="J234" i="36"/>
  <c r="L231" i="36"/>
  <c r="L274" i="36" s="1"/>
  <c r="W274" i="36" s="1"/>
  <c r="O287" i="36"/>
  <c r="AA284" i="36"/>
  <c r="Z283" i="36"/>
  <c r="AA282" i="36"/>
  <c r="AA260" i="36"/>
  <c r="AB254" i="36"/>
  <c r="AA233" i="36"/>
  <c r="Y284" i="36"/>
  <c r="Y248" i="36"/>
  <c r="S269" i="36"/>
  <c r="S217" i="36" s="1"/>
  <c r="S215" i="36" s="1"/>
  <c r="AB232" i="36"/>
  <c r="W232" i="36"/>
  <c r="M297" i="36"/>
  <c r="AA242" i="36"/>
  <c r="J293" i="36"/>
  <c r="J291" i="36" s="1"/>
  <c r="AA254" i="36"/>
  <c r="AB253" i="36"/>
  <c r="AB241" i="36"/>
  <c r="AA239" i="36"/>
  <c r="J17" i="46"/>
  <c r="J19" i="46" s="1"/>
  <c r="H20" i="46" s="1"/>
  <c r="E9" i="46"/>
  <c r="F9" i="46" s="1"/>
  <c r="Z294" i="36"/>
  <c r="M249" i="36"/>
  <c r="AA280" i="36"/>
  <c r="H17" i="46"/>
  <c r="H19" i="46" s="1"/>
  <c r="E27" i="46"/>
  <c r="F27" i="46" s="1"/>
  <c r="F28" i="46" s="1"/>
  <c r="F30" i="46" s="1"/>
  <c r="O17" i="46"/>
  <c r="O19" i="46" s="1"/>
  <c r="V241" i="36"/>
  <c r="N289" i="36"/>
  <c r="Y290" i="36"/>
  <c r="K293" i="36"/>
  <c r="Z280" i="36"/>
  <c r="R293" i="36"/>
  <c r="M289" i="36"/>
  <c r="M287" i="36" s="1"/>
  <c r="W259" i="36"/>
  <c r="Z256" i="36"/>
  <c r="AB245" i="36"/>
  <c r="AB242" i="36"/>
  <c r="AB239" i="36"/>
  <c r="AA52" i="36"/>
  <c r="Y37" i="36"/>
  <c r="Y88" i="36"/>
  <c r="Y64" i="36"/>
  <c r="AB102" i="36"/>
  <c r="AB171" i="36"/>
  <c r="S178" i="36"/>
  <c r="K178" i="36"/>
  <c r="Y103" i="36"/>
  <c r="P197" i="36"/>
  <c r="AA197" i="36" s="1"/>
  <c r="AA192" i="36"/>
  <c r="U137" i="36"/>
  <c r="U25" i="36"/>
  <c r="U11" i="36" s="1"/>
  <c r="AB144" i="36"/>
  <c r="V149" i="36"/>
  <c r="V162" i="36"/>
  <c r="U159" i="36"/>
  <c r="P46" i="32"/>
  <c r="X46" i="32"/>
  <c r="U47" i="32"/>
  <c r="R48" i="32"/>
  <c r="Z48" i="32"/>
  <c r="W49" i="32"/>
  <c r="T50" i="32"/>
  <c r="Q51" i="32"/>
  <c r="Y51" i="32"/>
  <c r="S53" i="32"/>
  <c r="P54" i="32"/>
  <c r="X54" i="32"/>
  <c r="Y46" i="32"/>
  <c r="S48" i="32"/>
  <c r="P49" i="32"/>
  <c r="U50" i="32"/>
  <c r="Z51" i="32"/>
  <c r="Q54" i="32"/>
  <c r="Q46" i="32"/>
  <c r="V47" i="32"/>
  <c r="X49" i="32"/>
  <c r="R51" i="32"/>
  <c r="T53" i="32"/>
  <c r="Y54" i="32"/>
  <c r="R46" i="32"/>
  <c r="Z46" i="32"/>
  <c r="W47" i="32"/>
  <c r="T48" i="32"/>
  <c r="Q49" i="32"/>
  <c r="Y49" i="32"/>
  <c r="V50" i="32"/>
  <c r="S51" i="32"/>
  <c r="U53" i="32"/>
  <c r="R54" i="32"/>
  <c r="Z54" i="32"/>
  <c r="O54" i="32"/>
  <c r="R47" i="32"/>
  <c r="T49" i="32"/>
  <c r="V51" i="32"/>
  <c r="X53" i="32"/>
  <c r="O49" i="32"/>
  <c r="Z53" i="32"/>
  <c r="S46" i="32"/>
  <c r="P47" i="32"/>
  <c r="X47" i="32"/>
  <c r="U48" i="32"/>
  <c r="R49" i="32"/>
  <c r="Z49" i="32"/>
  <c r="W50" i="32"/>
  <c r="T51" i="32"/>
  <c r="V53" i="32"/>
  <c r="S54" i="32"/>
  <c r="O47" i="32"/>
  <c r="O46" i="32"/>
  <c r="Z47" i="32"/>
  <c r="Q50" i="32"/>
  <c r="U54" i="32"/>
  <c r="X51" i="32"/>
  <c r="O51" i="32"/>
  <c r="T46" i="32"/>
  <c r="Q47" i="32"/>
  <c r="Y47" i="32"/>
  <c r="V48" i="32"/>
  <c r="S49" i="32"/>
  <c r="P50" i="32"/>
  <c r="X50" i="32"/>
  <c r="U51" i="32"/>
  <c r="W53" i="32"/>
  <c r="T54" i="32"/>
  <c r="O48" i="32"/>
  <c r="U46" i="32"/>
  <c r="W48" i="32"/>
  <c r="Y50" i="32"/>
  <c r="P53" i="32"/>
  <c r="S50" i="32"/>
  <c r="R53" i="32"/>
  <c r="O53" i="32"/>
  <c r="V46" i="32"/>
  <c r="S47" i="32"/>
  <c r="P48" i="32"/>
  <c r="X48" i="32"/>
  <c r="U49" i="32"/>
  <c r="R50" i="32"/>
  <c r="Z50" i="32"/>
  <c r="W51" i="32"/>
  <c r="Q53" i="32"/>
  <c r="Y53" i="32"/>
  <c r="V54" i="32"/>
  <c r="O50" i="32"/>
  <c r="W46" i="32"/>
  <c r="T47" i="32"/>
  <c r="Q48" i="32"/>
  <c r="Y48" i="32"/>
  <c r="V49" i="32"/>
  <c r="P51" i="32"/>
  <c r="W54" i="32"/>
  <c r="O52" i="32"/>
  <c r="Q52" i="32"/>
  <c r="W52" i="32"/>
  <c r="Y52" i="32"/>
  <c r="T52" i="32"/>
  <c r="R52" i="32"/>
  <c r="P52" i="32"/>
  <c r="X52" i="32"/>
  <c r="U52" i="32"/>
  <c r="V52" i="32"/>
  <c r="Z52" i="32"/>
  <c r="S52" i="32"/>
  <c r="W103" i="36"/>
  <c r="AB49" i="36"/>
  <c r="Y43" i="36"/>
  <c r="Z91" i="36"/>
  <c r="Z79" i="36"/>
  <c r="Z61" i="36"/>
  <c r="Z55" i="36"/>
  <c r="AB42" i="36"/>
  <c r="AA172" i="36"/>
  <c r="AA234" i="36"/>
  <c r="AA184" i="36"/>
  <c r="K29" i="32"/>
  <c r="AA68" i="36"/>
  <c r="Z68" i="36"/>
  <c r="Y68" i="36"/>
  <c r="W68" i="36"/>
  <c r="V68" i="36"/>
  <c r="AB68" i="36"/>
  <c r="M133" i="36"/>
  <c r="O214" i="36"/>
  <c r="O134" i="36"/>
  <c r="Y260" i="36"/>
  <c r="Z242" i="36"/>
  <c r="M269" i="36"/>
  <c r="M217" i="36" s="1"/>
  <c r="N265" i="36"/>
  <c r="N213" i="36" s="1"/>
  <c r="K269" i="36"/>
  <c r="K217" i="36" s="1"/>
  <c r="K215" i="36" s="1"/>
  <c r="Q273" i="36"/>
  <c r="Q221" i="36" s="1"/>
  <c r="O265" i="36"/>
  <c r="O213" i="36" s="1"/>
  <c r="M314" i="36"/>
  <c r="AB130" i="36"/>
  <c r="AA102" i="36"/>
  <c r="W128" i="36"/>
  <c r="P142" i="36"/>
  <c r="N134" i="36"/>
  <c r="Z134" i="36" s="1"/>
  <c r="Y239" i="36"/>
  <c r="M295" i="36"/>
  <c r="U289" i="36"/>
  <c r="S293" i="36"/>
  <c r="S291" i="36" s="1"/>
  <c r="V253" i="36"/>
  <c r="AB251" i="36"/>
  <c r="AB248" i="36"/>
  <c r="L269" i="36"/>
  <c r="L267" i="36" s="1"/>
  <c r="Z238" i="36"/>
  <c r="Z232" i="36"/>
  <c r="U214" i="36"/>
  <c r="M266" i="36"/>
  <c r="M214" i="36" s="1"/>
  <c r="M7" i="36" s="1"/>
  <c r="Z229" i="36"/>
  <c r="AB227" i="36"/>
  <c r="W227" i="36"/>
  <c r="T160" i="36"/>
  <c r="T159" i="36" s="1"/>
  <c r="AB149" i="36"/>
  <c r="AA131" i="36"/>
  <c r="AA165" i="36"/>
  <c r="U133" i="36"/>
  <c r="R160" i="36"/>
  <c r="AA149" i="36"/>
  <c r="Y227" i="36"/>
  <c r="Y281" i="36"/>
  <c r="O297" i="36"/>
  <c r="AB277" i="36"/>
  <c r="Z277" i="36"/>
  <c r="AA124" i="36"/>
  <c r="P139" i="36"/>
  <c r="AA139" i="36" s="1"/>
  <c r="S135" i="36"/>
  <c r="AB135" i="36" s="1"/>
  <c r="AB123" i="36"/>
  <c r="Y161" i="36"/>
  <c r="K159" i="36"/>
  <c r="Y245" i="36"/>
  <c r="P218" i="36"/>
  <c r="W226" i="36"/>
  <c r="P314" i="36"/>
  <c r="AA126" i="36"/>
  <c r="P134" i="36"/>
  <c r="AB315" i="36"/>
  <c r="T314" i="36"/>
  <c r="J160" i="36"/>
  <c r="Y149" i="36"/>
  <c r="AA151" i="36"/>
  <c r="U269" i="36"/>
  <c r="U267" i="36" s="1"/>
  <c r="T134" i="36"/>
  <c r="T133" i="36" s="1"/>
  <c r="U151" i="36"/>
  <c r="T143" i="36"/>
  <c r="AB143" i="36" s="1"/>
  <c r="AB125" i="36"/>
  <c r="M144" i="36"/>
  <c r="Z144" i="36" s="1"/>
  <c r="Z122" i="36"/>
  <c r="K136" i="36"/>
  <c r="Y136" i="36" s="1"/>
  <c r="Y120" i="36"/>
  <c r="W248" i="36"/>
  <c r="O218" i="36"/>
  <c r="Z218" i="36" s="1"/>
  <c r="Q314" i="36"/>
  <c r="Z129" i="36"/>
  <c r="AB127" i="36"/>
  <c r="T138" i="36"/>
  <c r="T137" i="36" s="1"/>
  <c r="AA155" i="36"/>
  <c r="Z126" i="36"/>
  <c r="Q138" i="36"/>
  <c r="Q137" i="36" s="1"/>
  <c r="Z140" i="36"/>
  <c r="AA140" i="36"/>
  <c r="Y125" i="36"/>
  <c r="J143" i="36"/>
  <c r="Y143" i="36" s="1"/>
  <c r="Y315" i="36"/>
  <c r="L314" i="36"/>
  <c r="Q142" i="36"/>
  <c r="W142" i="36" s="1"/>
  <c r="AA128" i="36"/>
  <c r="Z259" i="36"/>
  <c r="S159" i="36"/>
  <c r="AB159" i="36" s="1"/>
  <c r="U212" i="36"/>
  <c r="P265" i="36"/>
  <c r="P213" i="36" s="1"/>
  <c r="Y230" i="36"/>
  <c r="AB147" i="36"/>
  <c r="S152" i="36"/>
  <c r="AB152" i="36" s="1"/>
  <c r="M151" i="36"/>
  <c r="Z152" i="36"/>
  <c r="AA123" i="36"/>
  <c r="P135" i="36"/>
  <c r="AA135" i="36" s="1"/>
  <c r="AB122" i="36"/>
  <c r="AB34" i="36"/>
  <c r="M212" i="36"/>
  <c r="P214" i="36"/>
  <c r="P7" i="36" s="1"/>
  <c r="AB166" i="36"/>
  <c r="Z102" i="36"/>
  <c r="Y242" i="36"/>
  <c r="AA236" i="36"/>
  <c r="AB235" i="36"/>
  <c r="AB226" i="36"/>
  <c r="Z226" i="36"/>
  <c r="Z307" i="36"/>
  <c r="W308" i="36"/>
  <c r="V309" i="36"/>
  <c r="AA313" i="36"/>
  <c r="Z315" i="36"/>
  <c r="AA316" i="36"/>
  <c r="T289" i="36"/>
  <c r="T287" i="36" s="1"/>
  <c r="Z285" i="36"/>
  <c r="L289" i="36"/>
  <c r="L287" i="36" s="1"/>
  <c r="AB256" i="36"/>
  <c r="L29" i="36"/>
  <c r="Z103" i="36"/>
  <c r="AB280" i="36"/>
  <c r="Q159" i="36"/>
  <c r="U220" i="36"/>
  <c r="U222" i="36"/>
  <c r="AB222" i="36" s="1"/>
  <c r="M222" i="36"/>
  <c r="N222" i="36"/>
  <c r="R310" i="36"/>
  <c r="L21" i="36"/>
  <c r="L7" i="36" s="1"/>
  <c r="Q268" i="36"/>
  <c r="Q216" i="36" s="1"/>
  <c r="M216" i="36"/>
  <c r="R178" i="36"/>
  <c r="R175" i="36" s="1"/>
  <c r="AB131" i="36"/>
  <c r="V131" i="36"/>
  <c r="M142" i="36"/>
  <c r="Z142" i="36" s="1"/>
  <c r="P138" i="36"/>
  <c r="S134" i="36"/>
  <c r="K134" i="36"/>
  <c r="AA156" i="36"/>
  <c r="P141" i="36"/>
  <c r="Z135" i="36"/>
  <c r="L137" i="36"/>
  <c r="W120" i="36"/>
  <c r="Y288" i="36"/>
  <c r="AA256" i="36"/>
  <c r="T220" i="36"/>
  <c r="Y250" i="36"/>
  <c r="AB247" i="36"/>
  <c r="Z261" i="36"/>
  <c r="Z258" i="36"/>
  <c r="R306" i="36"/>
  <c r="T21" i="36"/>
  <c r="O220" i="36"/>
  <c r="S21" i="36"/>
  <c r="S7" i="36" s="1"/>
  <c r="N216" i="36"/>
  <c r="S29" i="36"/>
  <c r="S15" i="36" s="1"/>
  <c r="R21" i="36"/>
  <c r="J21" i="36"/>
  <c r="AB43" i="36"/>
  <c r="Z97" i="36"/>
  <c r="AB140" i="36"/>
  <c r="P297" i="36"/>
  <c r="P295" i="36" s="1"/>
  <c r="AB317" i="36"/>
  <c r="Q293" i="36"/>
  <c r="Q291" i="36" s="1"/>
  <c r="AA249" i="36"/>
  <c r="AA243" i="36"/>
  <c r="T29" i="36"/>
  <c r="T15" i="36" s="1"/>
  <c r="K29" i="36"/>
  <c r="K15" i="36" s="1"/>
  <c r="Z39" i="36"/>
  <c r="Z84" i="36"/>
  <c r="Q21" i="36"/>
  <c r="P216" i="36"/>
  <c r="AA46" i="36"/>
  <c r="AA58" i="36"/>
  <c r="Y58" i="36"/>
  <c r="AB193" i="36"/>
  <c r="AB169" i="36"/>
  <c r="AB103" i="36"/>
  <c r="U155" i="36"/>
  <c r="AB155" i="36" s="1"/>
  <c r="AA152" i="36"/>
  <c r="Z288" i="36"/>
  <c r="J269" i="36"/>
  <c r="J217" i="36" s="1"/>
  <c r="K297" i="36"/>
  <c r="K295" i="36" s="1"/>
  <c r="Q297" i="36"/>
  <c r="Q295" i="36" s="1"/>
  <c r="T293" i="36"/>
  <c r="T291" i="36" s="1"/>
  <c r="L293" i="36"/>
  <c r="U293" i="36"/>
  <c r="U291" i="36" s="1"/>
  <c r="M293" i="36"/>
  <c r="M291" i="36" s="1"/>
  <c r="Y257" i="36"/>
  <c r="AB192" i="36"/>
  <c r="AB61" i="36"/>
  <c r="Y99" i="36"/>
  <c r="AA169" i="36"/>
  <c r="AA103" i="36"/>
  <c r="AA42" i="36"/>
  <c r="AA87" i="36"/>
  <c r="Z40" i="36"/>
  <c r="AA37" i="36"/>
  <c r="AA100" i="36"/>
  <c r="AA94" i="36"/>
  <c r="AA88" i="36"/>
  <c r="AA76" i="36"/>
  <c r="AA64" i="36"/>
  <c r="Z171" i="36"/>
  <c r="Y171" i="36"/>
  <c r="Y279" i="36"/>
  <c r="T269" i="36"/>
  <c r="T217" i="36" s="1"/>
  <c r="Q28" i="46"/>
  <c r="E11" i="46"/>
  <c r="F11" i="46" s="1"/>
  <c r="F19" i="46" s="1"/>
  <c r="E23" i="46"/>
  <c r="F23" i="46" s="1"/>
  <c r="AA294" i="36"/>
  <c r="AA298" i="36"/>
  <c r="Q265" i="36"/>
  <c r="Q213" i="36" s="1"/>
  <c r="AB283" i="36"/>
  <c r="AB259" i="36"/>
  <c r="AA257" i="36"/>
  <c r="W253" i="36"/>
  <c r="AA246" i="36"/>
  <c r="Z244" i="36"/>
  <c r="V239" i="36"/>
  <c r="AA237" i="36"/>
  <c r="W235" i="36"/>
  <c r="N264" i="36"/>
  <c r="N212" i="36" s="1"/>
  <c r="W279" i="36"/>
  <c r="W239" i="36"/>
  <c r="AB296" i="36"/>
  <c r="AA255" i="36"/>
  <c r="AA229" i="36"/>
  <c r="Z253" i="36"/>
  <c r="O30" i="46"/>
  <c r="AB281" i="36"/>
  <c r="W256" i="36"/>
  <c r="Y251" i="36"/>
  <c r="V284" i="36"/>
  <c r="N297" i="36"/>
  <c r="N295" i="36" s="1"/>
  <c r="W247" i="36"/>
  <c r="W238" i="36"/>
  <c r="Q269" i="36"/>
  <c r="Q217" i="36" s="1"/>
  <c r="AB230" i="36"/>
  <c r="K17" i="46"/>
  <c r="K30" i="46" s="1"/>
  <c r="W282" i="36"/>
  <c r="Z290" i="36"/>
  <c r="S297" i="36"/>
  <c r="R289" i="36"/>
  <c r="R287" i="36" s="1"/>
  <c r="V259" i="36"/>
  <c r="W250" i="36"/>
  <c r="AA245" i="36"/>
  <c r="W241" i="36"/>
  <c r="AB238" i="36"/>
  <c r="R269" i="36"/>
  <c r="R217" i="36" s="1"/>
  <c r="Z235" i="36"/>
  <c r="AA290" i="36"/>
  <c r="L297" i="36"/>
  <c r="L295" i="36" s="1"/>
  <c r="Y241" i="36"/>
  <c r="AA228" i="36"/>
  <c r="K35" i="38"/>
  <c r="K37" i="38" s="1"/>
  <c r="K38" i="38" s="1"/>
  <c r="AN38" i="38"/>
  <c r="AH38" i="38"/>
  <c r="AE38" i="38"/>
  <c r="M35" i="38"/>
  <c r="M37" i="38" s="1"/>
  <c r="M38" i="38" s="1"/>
  <c r="M23" i="38"/>
  <c r="Y60" i="36"/>
  <c r="AB172" i="36"/>
  <c r="V103" i="36"/>
  <c r="Y52" i="36"/>
  <c r="Z49" i="36"/>
  <c r="Y46" i="36"/>
  <c r="AA40" i="36"/>
  <c r="AB100" i="36"/>
  <c r="AA97" i="36"/>
  <c r="AB94" i="36"/>
  <c r="AB76" i="36"/>
  <c r="AA70" i="36"/>
  <c r="AA61" i="36"/>
  <c r="AA55" i="36"/>
  <c r="Y168" i="36"/>
  <c r="AA193" i="36"/>
  <c r="AK37" i="38"/>
  <c r="AK38" i="38" s="1"/>
  <c r="Y82" i="36"/>
  <c r="Y166" i="36"/>
  <c r="N182" i="36"/>
  <c r="N179" i="36" s="1"/>
  <c r="AA171" i="36"/>
  <c r="L186" i="36"/>
  <c r="L183" i="36" s="1"/>
  <c r="Y193" i="36"/>
  <c r="AH98" i="39"/>
  <c r="AN56" i="39"/>
  <c r="AK65" i="39"/>
  <c r="AG56" i="39"/>
  <c r="AF56" i="39"/>
  <c r="AF55" i="39"/>
  <c r="AN62" i="39"/>
  <c r="T62" i="39" s="1"/>
  <c r="U14" i="39"/>
  <c r="AF46" i="39"/>
  <c r="AF47" i="39" s="1"/>
  <c r="AF62" i="39"/>
  <c r="AI55" i="39"/>
  <c r="AF98" i="39"/>
  <c r="AQ65" i="39"/>
  <c r="AA176" i="36"/>
  <c r="AM55" i="39"/>
  <c r="AA82" i="36"/>
  <c r="P89" i="39"/>
  <c r="U16" i="39"/>
  <c r="AF64" i="39"/>
  <c r="AF65" i="39" s="1"/>
  <c r="AF66" i="39" s="1"/>
  <c r="R108" i="36"/>
  <c r="R20" i="36" s="1"/>
  <c r="Y48" i="36"/>
  <c r="O182" i="36"/>
  <c r="O179" i="36" s="1"/>
  <c r="S197" i="36"/>
  <c r="S196" i="36" s="1"/>
  <c r="AQ18" i="39"/>
  <c r="AJ55" i="39"/>
  <c r="F80" i="39"/>
  <c r="Y34" i="36"/>
  <c r="AJ61" i="39"/>
  <c r="AN60" i="39"/>
  <c r="AO61" i="39"/>
  <c r="AO63" i="39" s="1"/>
  <c r="AG61" i="39"/>
  <c r="AK18" i="39"/>
  <c r="AN18" i="39"/>
  <c r="AB46" i="36"/>
  <c r="O111" i="36"/>
  <c r="O23" i="36" s="1"/>
  <c r="W34" i="36"/>
  <c r="Z88" i="36"/>
  <c r="W64" i="36"/>
  <c r="K108" i="39"/>
  <c r="U61" i="39"/>
  <c r="AM56" i="39"/>
  <c r="AJ98" i="39"/>
  <c r="U53" i="39"/>
  <c r="T53" i="39" s="1"/>
  <c r="AJ65" i="39"/>
  <c r="AP59" i="39"/>
  <c r="T108" i="36"/>
  <c r="T20" i="36" s="1"/>
  <c r="L108" i="36"/>
  <c r="L20" i="36" s="1"/>
  <c r="Y189" i="36"/>
  <c r="M178" i="36"/>
  <c r="AG55" i="39"/>
  <c r="AM107" i="39"/>
  <c r="K77" i="39"/>
  <c r="M77" i="39" s="1"/>
  <c r="AA33" i="36"/>
  <c r="AA166" i="36"/>
  <c r="AR52" i="39"/>
  <c r="AG63" i="39"/>
  <c r="AI56" i="39"/>
  <c r="AK62" i="39"/>
  <c r="AG18" i="39"/>
  <c r="AF107" i="39"/>
  <c r="AH107" i="39"/>
  <c r="K44" i="39"/>
  <c r="K46" i="39" s="1"/>
  <c r="K47" i="39" s="1"/>
  <c r="AI65" i="39"/>
  <c r="AK56" i="39"/>
  <c r="AO18" i="39"/>
  <c r="AN107" i="39"/>
  <c r="AL47" i="39"/>
  <c r="AH65" i="39"/>
  <c r="N112" i="36"/>
  <c r="N24" i="36" s="1"/>
  <c r="Z85" i="36"/>
  <c r="Y76" i="36"/>
  <c r="AB190" i="36"/>
  <c r="AB189" i="36"/>
  <c r="K107" i="39"/>
  <c r="U59" i="39"/>
  <c r="P84" i="39"/>
  <c r="AN59" i="39"/>
  <c r="AG107" i="39"/>
  <c r="AO98" i="39"/>
  <c r="O74" i="39"/>
  <c r="O75" i="39" s="1"/>
  <c r="AH55" i="39"/>
  <c r="AG65" i="39"/>
  <c r="N107" i="36"/>
  <c r="N19" i="36" s="1"/>
  <c r="AA36" i="36"/>
  <c r="Z96" i="36"/>
  <c r="AB78" i="36"/>
  <c r="Z69" i="36"/>
  <c r="AA57" i="36"/>
  <c r="Y190" i="36"/>
  <c r="V102" i="36"/>
  <c r="AQ107" i="39"/>
  <c r="AK107" i="39"/>
  <c r="K106" i="39"/>
  <c r="F86" i="39"/>
  <c r="AF18" i="39"/>
  <c r="T112" i="36"/>
  <c r="T24" i="36" s="1"/>
  <c r="U51" i="39"/>
  <c r="T51" i="39" s="1"/>
  <c r="AJ107" i="39"/>
  <c r="AP107" i="39"/>
  <c r="AO107" i="39"/>
  <c r="AI107" i="39"/>
  <c r="AN98" i="39"/>
  <c r="T17" i="39"/>
  <c r="T16" i="39"/>
  <c r="AM60" i="39"/>
  <c r="AP18" i="39"/>
  <c r="AH59" i="39"/>
  <c r="AH63" i="39" s="1"/>
  <c r="AB51" i="36"/>
  <c r="AB45" i="36"/>
  <c r="AF59" i="39"/>
  <c r="AF63" i="39" s="1"/>
  <c r="AQ56" i="39"/>
  <c r="AR44" i="39"/>
  <c r="AR46" i="39" s="1"/>
  <c r="V97" i="36"/>
  <c r="W70" i="36"/>
  <c r="AJ63" i="39"/>
  <c r="AI47" i="39"/>
  <c r="AK63" i="39"/>
  <c r="AM63" i="39"/>
  <c r="AO55" i="39"/>
  <c r="AJ56" i="39"/>
  <c r="AI61" i="39"/>
  <c r="U15" i="39"/>
  <c r="K76" i="39"/>
  <c r="AG98" i="39"/>
  <c r="W102" i="36"/>
  <c r="AR106" i="39"/>
  <c r="Y70" i="36"/>
  <c r="Y100" i="36"/>
  <c r="Y94" i="36"/>
  <c r="V165" i="36"/>
  <c r="Z166" i="36"/>
  <c r="Z203" i="36"/>
  <c r="AA190" i="36"/>
  <c r="AL55" i="39"/>
  <c r="AH56" i="39"/>
  <c r="P85" i="39"/>
  <c r="AA48" i="36"/>
  <c r="Y45" i="36"/>
  <c r="S107" i="36"/>
  <c r="S19" i="36" s="1"/>
  <c r="K107" i="36"/>
  <c r="K19" i="36" s="1"/>
  <c r="K5" i="36" s="1"/>
  <c r="O108" i="36"/>
  <c r="O20" i="36" s="1"/>
  <c r="W33" i="36"/>
  <c r="AB96" i="36"/>
  <c r="AB90" i="36"/>
  <c r="AB84" i="36"/>
  <c r="Y84" i="36"/>
  <c r="Y78" i="36"/>
  <c r="AB69" i="36"/>
  <c r="Y69" i="36"/>
  <c r="AB60" i="36"/>
  <c r="AB54" i="36"/>
  <c r="Z168" i="36"/>
  <c r="AA34" i="36"/>
  <c r="AL59" i="39"/>
  <c r="AL63" i="39" s="1"/>
  <c r="AK55" i="39"/>
  <c r="F88" i="39"/>
  <c r="AL98" i="39"/>
  <c r="N108" i="36"/>
  <c r="N20" i="36" s="1"/>
  <c r="AQ59" i="39"/>
  <c r="AQ63" i="39" s="1"/>
  <c r="T15" i="39"/>
  <c r="T14" i="39"/>
  <c r="U52" i="39"/>
  <c r="T52" i="39" s="1"/>
  <c r="U60" i="39"/>
  <c r="AH18" i="39"/>
  <c r="AL65" i="39"/>
  <c r="Y102" i="36"/>
  <c r="R107" i="36"/>
  <c r="U107" i="36"/>
  <c r="U19" i="36" s="1"/>
  <c r="M108" i="36"/>
  <c r="M20" i="36" s="1"/>
  <c r="P182" i="36"/>
  <c r="P179" i="36" s="1"/>
  <c r="AR108" i="39"/>
  <c r="AB82" i="36"/>
  <c r="AQ55" i="39"/>
  <c r="AI59" i="39"/>
  <c r="AK98" i="39"/>
  <c r="M33" i="39"/>
  <c r="M44" i="39" s="1"/>
  <c r="M46" i="39" s="1"/>
  <c r="M47" i="39" s="1"/>
  <c r="S111" i="36"/>
  <c r="R112" i="36"/>
  <c r="R24" i="36" s="1"/>
  <c r="U111" i="36"/>
  <c r="U23" i="36" s="1"/>
  <c r="L111" i="36"/>
  <c r="L23" i="36" s="1"/>
  <c r="L9" i="36" s="1"/>
  <c r="P112" i="36"/>
  <c r="V34" i="36"/>
  <c r="AO56" i="39"/>
  <c r="Y93" i="36"/>
  <c r="AP46" i="39"/>
  <c r="AO47" i="39" s="1"/>
  <c r="Z51" i="36"/>
  <c r="AA99" i="36"/>
  <c r="AA93" i="36"/>
  <c r="AA81" i="36"/>
  <c r="AA75" i="36"/>
  <c r="AB165" i="36"/>
  <c r="W165" i="36"/>
  <c r="AB33" i="36"/>
  <c r="S108" i="36"/>
  <c r="S20" i="36" s="1"/>
  <c r="Z151" i="36"/>
  <c r="Y33" i="36"/>
  <c r="Y39" i="36"/>
  <c r="V33" i="36"/>
  <c r="Y96" i="36"/>
  <c r="Y90" i="36"/>
  <c r="Y54" i="36"/>
  <c r="Y51" i="36"/>
  <c r="Z99" i="36"/>
  <c r="Z93" i="36"/>
  <c r="Z75" i="36"/>
  <c r="Z63" i="36"/>
  <c r="S137" i="36"/>
  <c r="AB39" i="36"/>
  <c r="Z190" i="36"/>
  <c r="V190" i="36"/>
  <c r="L152" i="36"/>
  <c r="V147" i="36"/>
  <c r="Y147" i="36"/>
  <c r="W147" i="36"/>
  <c r="K139" i="36"/>
  <c r="W124" i="36"/>
  <c r="V124" i="36"/>
  <c r="Z282" i="36"/>
  <c r="AA147" i="36"/>
  <c r="AB138" i="36"/>
  <c r="W229" i="36"/>
  <c r="V154" i="36"/>
  <c r="V153" i="36"/>
  <c r="AB156" i="36"/>
  <c r="Z162" i="36"/>
  <c r="V49" i="36"/>
  <c r="Y49" i="36"/>
  <c r="V251" i="36"/>
  <c r="W280" i="36"/>
  <c r="Y123" i="36"/>
  <c r="J135" i="36"/>
  <c r="W123" i="36"/>
  <c r="J138" i="36"/>
  <c r="Y130" i="36"/>
  <c r="W130" i="36"/>
  <c r="K142" i="36"/>
  <c r="K141" i="36" s="1"/>
  <c r="Y131" i="36"/>
  <c r="W131" i="36"/>
  <c r="V129" i="36"/>
  <c r="Q134" i="36"/>
  <c r="T142" i="36"/>
  <c r="Y128" i="36"/>
  <c r="V128" i="36"/>
  <c r="W127" i="36"/>
  <c r="O138" i="36"/>
  <c r="Z127" i="36"/>
  <c r="V127" i="36"/>
  <c r="R134" i="36"/>
  <c r="R133" i="36" s="1"/>
  <c r="O143" i="36"/>
  <c r="W125" i="36"/>
  <c r="Z125" i="36"/>
  <c r="V125" i="36"/>
  <c r="K140" i="36"/>
  <c r="Y121" i="36"/>
  <c r="W121" i="36"/>
  <c r="V120" i="36"/>
  <c r="N136" i="36"/>
  <c r="Z42" i="36"/>
  <c r="Z57" i="36"/>
  <c r="J144" i="36"/>
  <c r="Y144" i="36" s="1"/>
  <c r="Y122" i="36"/>
  <c r="M265" i="36"/>
  <c r="M213" i="36" s="1"/>
  <c r="U108" i="36"/>
  <c r="U20" i="36" s="1"/>
  <c r="AA96" i="36"/>
  <c r="W93" i="36"/>
  <c r="AA90" i="36"/>
  <c r="AB87" i="36"/>
  <c r="V87" i="36"/>
  <c r="W84" i="36"/>
  <c r="AA78" i="36"/>
  <c r="V75" i="36"/>
  <c r="AA69" i="36"/>
  <c r="W63" i="36"/>
  <c r="AA60" i="36"/>
  <c r="AB57" i="36"/>
  <c r="W57" i="36"/>
  <c r="P108" i="36"/>
  <c r="P20" i="36" s="1"/>
  <c r="O216" i="36"/>
  <c r="V121" i="36"/>
  <c r="Y229" i="36"/>
  <c r="V171" i="36"/>
  <c r="W190" i="36"/>
  <c r="L142" i="36"/>
  <c r="L141" i="36" s="1"/>
  <c r="W189" i="36"/>
  <c r="Z189" i="36"/>
  <c r="W315" i="36"/>
  <c r="Y235" i="36"/>
  <c r="V235" i="36"/>
  <c r="Y254" i="36"/>
  <c r="J268" i="36"/>
  <c r="V254" i="36"/>
  <c r="W254" i="36"/>
  <c r="W284" i="36"/>
  <c r="U297" i="36"/>
  <c r="U295" i="36" s="1"/>
  <c r="AA281" i="36"/>
  <c r="W281" i="36"/>
  <c r="P293" i="36"/>
  <c r="S289" i="36"/>
  <c r="S287" i="36" s="1"/>
  <c r="V280" i="36"/>
  <c r="W278" i="36"/>
  <c r="Z278" i="36"/>
  <c r="AA277" i="36"/>
  <c r="Q289" i="36"/>
  <c r="Q287" i="36" s="1"/>
  <c r="V277" i="36"/>
  <c r="W277" i="36"/>
  <c r="V260" i="36"/>
  <c r="Z260" i="36"/>
  <c r="W260" i="36"/>
  <c r="V257" i="36"/>
  <c r="W257" i="36"/>
  <c r="Y253" i="36"/>
  <c r="V250" i="36"/>
  <c r="V248" i="36"/>
  <c r="Y247" i="36"/>
  <c r="V247" i="36"/>
  <c r="W245" i="36"/>
  <c r="V245" i="36"/>
  <c r="Y244" i="36"/>
  <c r="V244" i="36"/>
  <c r="W242" i="36"/>
  <c r="V242" i="36"/>
  <c r="Y238" i="36"/>
  <c r="V238" i="36"/>
  <c r="V236" i="36"/>
  <c r="W236" i="36"/>
  <c r="V233" i="36"/>
  <c r="W233" i="36"/>
  <c r="S265" i="36"/>
  <c r="S213" i="36" s="1"/>
  <c r="K265" i="36"/>
  <c r="K213" i="36" s="1"/>
  <c r="K211" i="36" s="1"/>
  <c r="V230" i="36"/>
  <c r="W230" i="36"/>
  <c r="T265" i="36"/>
  <c r="T213" i="36" s="1"/>
  <c r="T211" i="36" s="1"/>
  <c r="V226" i="36"/>
  <c r="Y226" i="36"/>
  <c r="L265" i="36"/>
  <c r="L213" i="36" s="1"/>
  <c r="L211" i="36" s="1"/>
  <c r="U308" i="36"/>
  <c r="U306" i="36" s="1"/>
  <c r="AB306" i="36" s="1"/>
  <c r="V302" i="36"/>
  <c r="AA307" i="36"/>
  <c r="P306" i="36"/>
  <c r="Z308" i="36"/>
  <c r="M306" i="36"/>
  <c r="Y309" i="36"/>
  <c r="J306" i="36"/>
  <c r="W309" i="36"/>
  <c r="P310" i="36"/>
  <c r="AA311" i="36"/>
  <c r="V313" i="36"/>
  <c r="J310" i="36"/>
  <c r="Y313" i="36"/>
  <c r="O314" i="36"/>
  <c r="S314" i="36"/>
  <c r="AB314" i="36" s="1"/>
  <c r="AB316" i="36"/>
  <c r="Q108" i="36"/>
  <c r="Q20" i="36" s="1"/>
  <c r="M141" i="36"/>
  <c r="Y165" i="36"/>
  <c r="L178" i="36"/>
  <c r="W283" i="36"/>
  <c r="J289" i="36"/>
  <c r="J297" i="36"/>
  <c r="Y285" i="36"/>
  <c r="W285" i="36"/>
  <c r="Y294" i="36"/>
  <c r="W294" i="36"/>
  <c r="K291" i="36"/>
  <c r="Z317" i="36"/>
  <c r="V317" i="36"/>
  <c r="W317" i="36"/>
  <c r="AA125" i="36"/>
  <c r="AB121" i="36"/>
  <c r="Y153" i="36"/>
  <c r="Q107" i="36"/>
  <c r="V42" i="36"/>
  <c r="AA127" i="36"/>
  <c r="V283" i="36"/>
  <c r="Z247" i="36"/>
  <c r="Z241" i="36"/>
  <c r="S151" i="36"/>
  <c r="AB151" i="36" s="1"/>
  <c r="W162" i="36"/>
  <c r="W157" i="36"/>
  <c r="AA51" i="36"/>
  <c r="AA45" i="36"/>
  <c r="O107" i="36"/>
  <c r="O19" i="36" s="1"/>
  <c r="K108" i="36"/>
  <c r="K20" i="36" s="1"/>
  <c r="AB99" i="36"/>
  <c r="AB93" i="36"/>
  <c r="AB75" i="36"/>
  <c r="AB63" i="36"/>
  <c r="Z128" i="36"/>
  <c r="V46" i="36"/>
  <c r="R111" i="36"/>
  <c r="R23" i="36" s="1"/>
  <c r="R9" i="36" s="1"/>
  <c r="AB37" i="36"/>
  <c r="V37" i="36"/>
  <c r="M112" i="36"/>
  <c r="M24" i="36" s="1"/>
  <c r="V100" i="36"/>
  <c r="W94" i="36"/>
  <c r="AA91" i="36"/>
  <c r="AB88" i="36"/>
  <c r="AA85" i="36"/>
  <c r="AA79" i="36"/>
  <c r="V76" i="36"/>
  <c r="AB64" i="36"/>
  <c r="V64" i="36"/>
  <c r="AB58" i="36"/>
  <c r="V58" i="36"/>
  <c r="V43" i="36"/>
  <c r="V123" i="36"/>
  <c r="V281" i="36"/>
  <c r="W171" i="36"/>
  <c r="K181" i="36"/>
  <c r="W181" i="36" s="1"/>
  <c r="V172" i="36"/>
  <c r="U142" i="36"/>
  <c r="U141" i="36" s="1"/>
  <c r="Q196" i="36"/>
  <c r="N160" i="36"/>
  <c r="W149" i="36"/>
  <c r="Z149" i="36"/>
  <c r="W313" i="36"/>
  <c r="Z87" i="36"/>
  <c r="P178" i="36"/>
  <c r="P175" i="36" s="1"/>
  <c r="W168" i="36"/>
  <c r="W126" i="36"/>
  <c r="Y126" i="36"/>
  <c r="V126" i="36"/>
  <c r="U265" i="36"/>
  <c r="U263" i="36" s="1"/>
  <c r="W296" i="36"/>
  <c r="O295" i="36"/>
  <c r="AB311" i="36"/>
  <c r="U310" i="36"/>
  <c r="Q306" i="36"/>
  <c r="AA309" i="36"/>
  <c r="T310" i="36"/>
  <c r="AB312" i="36"/>
  <c r="O159" i="36"/>
  <c r="Z48" i="36"/>
  <c r="AA39" i="36"/>
  <c r="AB126" i="36"/>
  <c r="AA230" i="36"/>
  <c r="V81" i="36"/>
  <c r="V161" i="36"/>
  <c r="V157" i="36"/>
  <c r="AB48" i="36"/>
  <c r="W48" i="36"/>
  <c r="V45" i="36"/>
  <c r="W42" i="36"/>
  <c r="W39" i="36"/>
  <c r="J108" i="36"/>
  <c r="V99" i="36"/>
  <c r="Z90" i="36"/>
  <c r="W81" i="36"/>
  <c r="Z78" i="36"/>
  <c r="Y75" i="36"/>
  <c r="V69" i="36"/>
  <c r="AA63" i="36"/>
  <c r="Y63" i="36"/>
  <c r="V60" i="36"/>
  <c r="Y57" i="36"/>
  <c r="Z54" i="36"/>
  <c r="U216" i="36"/>
  <c r="AB216" i="36" s="1"/>
  <c r="T25" i="36"/>
  <c r="V227" i="36"/>
  <c r="V130" i="36"/>
  <c r="N287" i="36"/>
  <c r="W166" i="36"/>
  <c r="V166" i="36"/>
  <c r="O136" i="36"/>
  <c r="O133" i="36" s="1"/>
  <c r="W290" i="36"/>
  <c r="V192" i="36"/>
  <c r="Y192" i="36"/>
  <c r="Q178" i="36"/>
  <c r="Q175" i="36" s="1"/>
  <c r="G263" i="36"/>
  <c r="Y283" i="36"/>
  <c r="W288" i="36"/>
  <c r="P287" i="36"/>
  <c r="M310" i="36"/>
  <c r="V51" i="36"/>
  <c r="Y256" i="36"/>
  <c r="V256" i="36"/>
  <c r="O291" i="36"/>
  <c r="W292" i="36"/>
  <c r="Z292" i="36"/>
  <c r="W298" i="36"/>
  <c r="Y298" i="36"/>
  <c r="L306" i="36"/>
  <c r="Y308" i="36"/>
  <c r="W312" i="36"/>
  <c r="V312" i="36"/>
  <c r="N314" i="36"/>
  <c r="Z314" i="36" s="1"/>
  <c r="V315" i="36"/>
  <c r="AB124" i="36"/>
  <c r="Z36" i="36"/>
  <c r="J107" i="36"/>
  <c r="M107" i="36"/>
  <c r="M19" i="36" s="1"/>
  <c r="T107" i="36"/>
  <c r="T19" i="36" s="1"/>
  <c r="AA227" i="36"/>
  <c r="Z250" i="36"/>
  <c r="W244" i="36"/>
  <c r="W161" i="36"/>
  <c r="Y157" i="36"/>
  <c r="V158" i="36"/>
  <c r="P269" i="36"/>
  <c r="P217" i="36" s="1"/>
  <c r="P215" i="36" s="1"/>
  <c r="J112" i="36"/>
  <c r="J24" i="36" s="1"/>
  <c r="K25" i="36"/>
  <c r="K11" i="36" s="1"/>
  <c r="Z297" i="36"/>
  <c r="V229" i="36"/>
  <c r="Z123" i="36"/>
  <c r="K289" i="36"/>
  <c r="K287" i="36" s="1"/>
  <c r="M156" i="36"/>
  <c r="Z148" i="36"/>
  <c r="V148" i="36"/>
  <c r="V285" i="36"/>
  <c r="Z279" i="36"/>
  <c r="R314" i="36"/>
  <c r="Q310" i="36"/>
  <c r="Y312" i="36"/>
  <c r="L291" i="36"/>
  <c r="V232" i="36"/>
  <c r="J265" i="36"/>
  <c r="J213" i="36" s="1"/>
  <c r="Y232" i="36"/>
  <c r="O306" i="36"/>
  <c r="V307" i="36"/>
  <c r="W307" i="36"/>
  <c r="O310" i="36"/>
  <c r="V311" i="36"/>
  <c r="W311" i="36"/>
  <c r="Z311" i="36"/>
  <c r="V316" i="36"/>
  <c r="W316" i="36"/>
  <c r="J314" i="36"/>
  <c r="AB148" i="36"/>
  <c r="AA168" i="36"/>
  <c r="AB134" i="36"/>
  <c r="AB229" i="36"/>
  <c r="Z158" i="36"/>
  <c r="W49" i="36"/>
  <c r="V94" i="36"/>
  <c r="S25" i="36"/>
  <c r="S11" i="36" s="1"/>
  <c r="V278" i="36"/>
  <c r="W251" i="36"/>
  <c r="O269" i="36"/>
  <c r="O217" i="36" s="1"/>
  <c r="Y124" i="36"/>
  <c r="V189" i="36"/>
  <c r="Z165" i="36"/>
  <c r="M202" i="36"/>
  <c r="J134" i="36"/>
  <c r="K177" i="36"/>
  <c r="W177" i="36" s="1"/>
  <c r="Z296" i="36"/>
  <c r="N293" i="36"/>
  <c r="L310" i="36"/>
  <c r="Y316" i="36"/>
  <c r="O25" i="36"/>
  <c r="J218" i="36"/>
  <c r="Y218" i="36" s="1"/>
  <c r="Z193" i="36"/>
  <c r="AA288" i="36"/>
  <c r="V282" i="36"/>
  <c r="Y240" i="36"/>
  <c r="U182" i="36"/>
  <c r="U179" i="36" s="1"/>
  <c r="M182" i="36"/>
  <c r="R141" i="36"/>
  <c r="AA292" i="36"/>
  <c r="AA296" i="36"/>
  <c r="P29" i="36"/>
  <c r="P15" i="36" s="1"/>
  <c r="O212" i="36"/>
  <c r="R218" i="36"/>
  <c r="U287" i="36"/>
  <c r="K202" i="36"/>
  <c r="AA201" i="36"/>
  <c r="K201" i="36"/>
  <c r="Y201" i="36" s="1"/>
  <c r="T182" i="36"/>
  <c r="T179" i="36" s="1"/>
  <c r="L182" i="36"/>
  <c r="L179" i="36" s="1"/>
  <c r="U178" i="36"/>
  <c r="U175" i="36" s="1"/>
  <c r="P25" i="36"/>
  <c r="P11" i="36" s="1"/>
  <c r="L112" i="36"/>
  <c r="L24" i="36" s="1"/>
  <c r="O29" i="36"/>
  <c r="O15" i="36" s="1"/>
  <c r="K186" i="36"/>
  <c r="K183" i="36" s="1"/>
  <c r="Q200" i="36"/>
  <c r="S182" i="36"/>
  <c r="K182" i="36"/>
  <c r="AA231" i="36"/>
  <c r="AB52" i="36"/>
  <c r="Z52" i="36"/>
  <c r="Q112" i="36"/>
  <c r="Q24" i="36" s="1"/>
  <c r="Z46" i="36"/>
  <c r="AA43" i="36"/>
  <c r="T111" i="36"/>
  <c r="T23" i="36" s="1"/>
  <c r="T9" i="36" s="1"/>
  <c r="W40" i="36"/>
  <c r="W37" i="36"/>
  <c r="AB97" i="36"/>
  <c r="AB91" i="36"/>
  <c r="W91" i="36"/>
  <c r="AB85" i="36"/>
  <c r="W85" i="36"/>
  <c r="W82" i="36"/>
  <c r="AB79" i="36"/>
  <c r="Y79" i="36"/>
  <c r="W76" i="36"/>
  <c r="AB70" i="36"/>
  <c r="Z64" i="36"/>
  <c r="W58" i="36"/>
  <c r="S112" i="36"/>
  <c r="S24" i="36" s="1"/>
  <c r="K112" i="36"/>
  <c r="K24" i="36" s="1"/>
  <c r="Y92" i="36"/>
  <c r="AA86" i="36"/>
  <c r="N29" i="36"/>
  <c r="AA202" i="36"/>
  <c r="P200" i="36"/>
  <c r="R182" i="36"/>
  <c r="R179" i="36" s="1"/>
  <c r="J182" i="36"/>
  <c r="J179" i="36" s="1"/>
  <c r="W192" i="36"/>
  <c r="P111" i="36"/>
  <c r="P23" i="36" s="1"/>
  <c r="J111" i="36"/>
  <c r="Y97" i="36"/>
  <c r="Y91" i="36"/>
  <c r="V85" i="36"/>
  <c r="W79" i="36"/>
  <c r="V70" i="36"/>
  <c r="Y61" i="36"/>
  <c r="U29" i="36"/>
  <c r="J214" i="36"/>
  <c r="Q214" i="36"/>
  <c r="W169" i="36"/>
  <c r="Q182" i="36"/>
  <c r="AB55" i="36"/>
  <c r="Y36" i="36"/>
  <c r="W45" i="36"/>
  <c r="V93" i="36"/>
  <c r="Z58" i="36"/>
  <c r="Y85" i="36"/>
  <c r="N111" i="36"/>
  <c r="N23" i="36" s="1"/>
  <c r="W78" i="36"/>
  <c r="W51" i="36"/>
  <c r="V78" i="36"/>
  <c r="V57" i="36"/>
  <c r="V39" i="36"/>
  <c r="Y42" i="36"/>
  <c r="Z76" i="36"/>
  <c r="P107" i="36"/>
  <c r="P19" i="36" s="1"/>
  <c r="W100" i="36"/>
  <c r="W61" i="36"/>
  <c r="W46" i="36"/>
  <c r="Z94" i="36"/>
  <c r="K111" i="36"/>
  <c r="K23" i="36" s="1"/>
  <c r="Q111" i="36"/>
  <c r="Q23" i="36" s="1"/>
  <c r="W193" i="36"/>
  <c r="V169" i="36"/>
  <c r="U200" i="36"/>
  <c r="V52" i="36"/>
  <c r="W90" i="36"/>
  <c r="V90" i="36"/>
  <c r="V63" i="36"/>
  <c r="V54" i="36"/>
  <c r="Z37" i="36"/>
  <c r="L107" i="36"/>
  <c r="W97" i="36"/>
  <c r="V61" i="36"/>
  <c r="Z100" i="36"/>
  <c r="Z169" i="36"/>
  <c r="Y169" i="36"/>
  <c r="M201" i="36"/>
  <c r="AA49" i="36"/>
  <c r="AA84" i="36"/>
  <c r="AB40" i="36"/>
  <c r="W60" i="36"/>
  <c r="W87" i="36"/>
  <c r="V96" i="36"/>
  <c r="V84" i="36"/>
  <c r="Y87" i="36"/>
  <c r="W52" i="36"/>
  <c r="V91" i="36"/>
  <c r="V55" i="36"/>
  <c r="V88" i="36"/>
  <c r="Y40" i="36"/>
  <c r="Y55" i="36"/>
  <c r="O112" i="36"/>
  <c r="O24" i="36" s="1"/>
  <c r="Z192" i="36"/>
  <c r="AB36" i="36"/>
  <c r="W96" i="36"/>
  <c r="V48" i="36"/>
  <c r="V36" i="36"/>
  <c r="W55" i="36"/>
  <c r="V82" i="36"/>
  <c r="V79" i="36"/>
  <c r="M111" i="36"/>
  <c r="Z101" i="36"/>
  <c r="Z95" i="36"/>
  <c r="Y172" i="36"/>
  <c r="M197" i="36"/>
  <c r="M196" i="36" s="1"/>
  <c r="Z41" i="36"/>
  <c r="AA98" i="36"/>
  <c r="AA80" i="36"/>
  <c r="AA56" i="36"/>
  <c r="V193" i="36"/>
  <c r="AB168" i="36"/>
  <c r="Y81" i="36"/>
  <c r="AB81" i="36"/>
  <c r="V40" i="36"/>
  <c r="Z45" i="36"/>
  <c r="Z60" i="36"/>
  <c r="W36" i="36"/>
  <c r="W75" i="36"/>
  <c r="W99" i="36"/>
  <c r="W88" i="36"/>
  <c r="W43" i="36"/>
  <c r="Z43" i="36"/>
  <c r="Z82" i="36"/>
  <c r="U112" i="36"/>
  <c r="U24" i="36" s="1"/>
  <c r="Z172" i="36"/>
  <c r="S186" i="36"/>
  <c r="S183" i="36" s="1"/>
  <c r="AA54" i="36"/>
  <c r="W54" i="36"/>
  <c r="W69" i="36"/>
  <c r="Z81" i="36"/>
  <c r="Z50" i="36"/>
  <c r="AA101" i="36"/>
  <c r="AA95" i="36"/>
  <c r="AA89" i="36"/>
  <c r="AA77" i="36"/>
  <c r="AA65" i="36"/>
  <c r="W172" i="36"/>
  <c r="AP63" i="39"/>
  <c r="V168" i="36"/>
  <c r="AP55" i="39"/>
  <c r="AR51" i="39"/>
  <c r="AP98" i="39"/>
  <c r="T178" i="36"/>
  <c r="T175" i="36" s="1"/>
  <c r="Y237" i="36"/>
  <c r="Y261" i="36"/>
  <c r="H30" i="46"/>
  <c r="L30" i="46"/>
  <c r="Z237" i="36"/>
  <c r="Y214" i="36"/>
  <c r="M30" i="46"/>
  <c r="P273" i="36"/>
  <c r="P221" i="36" s="1"/>
  <c r="P219" i="36" s="1"/>
  <c r="W252" i="36"/>
  <c r="Z234" i="36"/>
  <c r="AB246" i="36"/>
  <c r="Y212" i="36"/>
  <c r="N273" i="36"/>
  <c r="N221" i="36" s="1"/>
  <c r="AB261" i="36"/>
  <c r="V258" i="36"/>
  <c r="W255" i="36"/>
  <c r="Z246" i="36"/>
  <c r="W243" i="36"/>
  <c r="Z228" i="36"/>
  <c r="AB258" i="36"/>
  <c r="AB231" i="36"/>
  <c r="L11" i="36"/>
  <c r="Z231" i="36"/>
  <c r="Y243" i="36"/>
  <c r="AA258" i="36"/>
  <c r="AB255" i="36"/>
  <c r="Y255" i="36"/>
  <c r="Y252" i="36"/>
  <c r="V246" i="36"/>
  <c r="AB234" i="36"/>
  <c r="Y234" i="36"/>
  <c r="AB228" i="36"/>
  <c r="N267" i="36"/>
  <c r="V249" i="36"/>
  <c r="AA261" i="36"/>
  <c r="AA252" i="36"/>
  <c r="M273" i="36"/>
  <c r="M221" i="36" s="1"/>
  <c r="W270" i="36"/>
  <c r="Z255" i="36"/>
  <c r="O273" i="36"/>
  <c r="O221" i="36" s="1"/>
  <c r="Z252" i="36"/>
  <c r="Z240" i="36"/>
  <c r="W240" i="36"/>
  <c r="I30" i="46"/>
  <c r="Z270" i="36"/>
  <c r="Z249" i="36"/>
  <c r="Q220" i="36"/>
  <c r="L272" i="36"/>
  <c r="J220" i="36"/>
  <c r="L273" i="36"/>
  <c r="L221" i="36" s="1"/>
  <c r="P212" i="36"/>
  <c r="V234" i="36"/>
  <c r="Y246" i="36"/>
  <c r="Y258" i="36"/>
  <c r="R30" i="46"/>
  <c r="N30" i="46"/>
  <c r="V243" i="36"/>
  <c r="M272" i="36"/>
  <c r="Z272" i="36" s="1"/>
  <c r="AA266" i="36"/>
  <c r="Z274" i="36"/>
  <c r="W246" i="36"/>
  <c r="Y270" i="36"/>
  <c r="Y266" i="36"/>
  <c r="M11" i="36"/>
  <c r="N18" i="46"/>
  <c r="V261" i="36"/>
  <c r="AA222" i="36"/>
  <c r="W234" i="36"/>
  <c r="W258" i="36"/>
  <c r="V255" i="36"/>
  <c r="K273" i="36"/>
  <c r="K221" i="36" s="1"/>
  <c r="K272" i="36"/>
  <c r="Y264" i="36"/>
  <c r="W237" i="36"/>
  <c r="W249" i="36"/>
  <c r="W261" i="36"/>
  <c r="Y249" i="36"/>
  <c r="Z268" i="36"/>
  <c r="N220" i="36"/>
  <c r="N217" i="36"/>
  <c r="Z243" i="36"/>
  <c r="AB282" i="36"/>
  <c r="V290" i="36"/>
  <c r="S295" i="36"/>
  <c r="AA104" i="36"/>
  <c r="AB288" i="36"/>
  <c r="V292" i="36"/>
  <c r="P30" i="46"/>
  <c r="R279" i="36"/>
  <c r="V279" i="36" s="1"/>
  <c r="V288" i="36"/>
  <c r="R291" i="36"/>
  <c r="V294" i="36"/>
  <c r="AB298" i="36"/>
  <c r="Q30" i="46"/>
  <c r="AB292" i="36"/>
  <c r="V296" i="36"/>
  <c r="AB290" i="36"/>
  <c r="V298" i="36"/>
  <c r="T297" i="36"/>
  <c r="AB279" i="36"/>
  <c r="AB294" i="36"/>
  <c r="U273" i="36"/>
  <c r="U221" i="36" s="1"/>
  <c r="AA264" i="36"/>
  <c r="S30" i="46"/>
  <c r="V252" i="36"/>
  <c r="AB252" i="36"/>
  <c r="U7" i="36"/>
  <c r="AB264" i="36"/>
  <c r="R214" i="36"/>
  <c r="T273" i="36"/>
  <c r="T221" i="36" s="1"/>
  <c r="T219" i="36" s="1"/>
  <c r="AB240" i="36"/>
  <c r="AB237" i="36"/>
  <c r="S273" i="36"/>
  <c r="S221" i="36" s="1"/>
  <c r="V237" i="36"/>
  <c r="AB268" i="36"/>
  <c r="Q18" i="46"/>
  <c r="Q19" i="46"/>
  <c r="Q20" i="46" s="1"/>
  <c r="AB274" i="36"/>
  <c r="AB272" i="36"/>
  <c r="V240" i="36"/>
  <c r="AA274" i="36"/>
  <c r="AA240" i="36"/>
  <c r="R273" i="36"/>
  <c r="AA272" i="36"/>
  <c r="R213" i="36"/>
  <c r="P19" i="46"/>
  <c r="AA270" i="36"/>
  <c r="R263" i="36"/>
  <c r="AB266" i="36"/>
  <c r="V270" i="36"/>
  <c r="AB270" i="36"/>
  <c r="AB214" i="36"/>
  <c r="AB218" i="36"/>
  <c r="AB212" i="36"/>
  <c r="AA92" i="36"/>
  <c r="AA71" i="36"/>
  <c r="O186" i="36"/>
  <c r="O183" i="36" s="1"/>
  <c r="AB167" i="36"/>
  <c r="Z167" i="36"/>
  <c r="AB92" i="36"/>
  <c r="AB86" i="36"/>
  <c r="AB80" i="36"/>
  <c r="AB56" i="36"/>
  <c r="W199" i="36"/>
  <c r="Z53" i="36"/>
  <c r="Z35" i="36"/>
  <c r="R186" i="36"/>
  <c r="AA62" i="36"/>
  <c r="Z184" i="36"/>
  <c r="AA207" i="36"/>
  <c r="Y198" i="36"/>
  <c r="AA38" i="36"/>
  <c r="J186" i="36"/>
  <c r="J183" i="36" s="1"/>
  <c r="AA191" i="36"/>
  <c r="AB47" i="36"/>
  <c r="AA177" i="36"/>
  <c r="AB50" i="36"/>
  <c r="Y44" i="36"/>
  <c r="AA199" i="36"/>
  <c r="AB203" i="36"/>
  <c r="Z40" i="32"/>
  <c r="AA181" i="36"/>
  <c r="Z198" i="36"/>
  <c r="O175" i="36"/>
  <c r="AB180" i="36"/>
  <c r="V180" i="36"/>
  <c r="K196" i="36"/>
  <c r="AB199" i="36"/>
  <c r="N200" i="36"/>
  <c r="Q40" i="32"/>
  <c r="Y40" i="32"/>
  <c r="AB198" i="36"/>
  <c r="N175" i="36"/>
  <c r="N196" i="36"/>
  <c r="AA41" i="36"/>
  <c r="AB38" i="36"/>
  <c r="AA35" i="36"/>
  <c r="AB104" i="36"/>
  <c r="AB98" i="36"/>
  <c r="P115" i="36"/>
  <c r="P27" i="36" s="1"/>
  <c r="P13" i="36" s="1"/>
  <c r="AB71" i="36"/>
  <c r="Y199" i="36"/>
  <c r="AB44" i="36"/>
  <c r="Y38" i="36"/>
  <c r="Z77" i="36"/>
  <c r="Y62" i="36"/>
  <c r="Z109" i="36"/>
  <c r="Y173" i="36"/>
  <c r="Z180" i="36"/>
  <c r="J196" i="36"/>
  <c r="W47" i="36"/>
  <c r="AB41" i="36"/>
  <c r="W38" i="36"/>
  <c r="W104" i="36"/>
  <c r="W77" i="36"/>
  <c r="V71" i="36"/>
  <c r="V56" i="36"/>
  <c r="W176" i="36"/>
  <c r="AK40" i="32"/>
  <c r="Z176" i="36"/>
  <c r="AA170" i="36"/>
  <c r="Z173" i="36"/>
  <c r="Q186" i="36"/>
  <c r="Q183" i="36" s="1"/>
  <c r="AB109" i="36"/>
  <c r="Y56" i="36"/>
  <c r="Q204" i="36"/>
  <c r="K204" i="36"/>
  <c r="P186" i="36"/>
  <c r="P183" i="36" s="1"/>
  <c r="T186" i="36"/>
  <c r="T183" i="36" s="1"/>
  <c r="AB207" i="36"/>
  <c r="P40" i="32"/>
  <c r="X40" i="32"/>
  <c r="S40" i="32"/>
  <c r="AD40" i="32"/>
  <c r="S204" i="36"/>
  <c r="AA180" i="36"/>
  <c r="AB194" i="36"/>
  <c r="Z177" i="36"/>
  <c r="AA194" i="36"/>
  <c r="AB181" i="36"/>
  <c r="Y191" i="36"/>
  <c r="N204" i="36"/>
  <c r="AB191" i="36"/>
  <c r="Y109" i="36"/>
  <c r="W44" i="36"/>
  <c r="T115" i="36"/>
  <c r="L115" i="36"/>
  <c r="L27" i="36" s="1"/>
  <c r="T116" i="36"/>
  <c r="T28" i="36" s="1"/>
  <c r="L116" i="36"/>
  <c r="L28" i="36" s="1"/>
  <c r="AB101" i="36"/>
  <c r="AB95" i="36"/>
  <c r="AB89" i="36"/>
  <c r="W86" i="36"/>
  <c r="AB77" i="36"/>
  <c r="AB65" i="36"/>
  <c r="AB59" i="36"/>
  <c r="Z56" i="36"/>
  <c r="V191" i="36"/>
  <c r="Z181" i="36"/>
  <c r="V198" i="36"/>
  <c r="Y176" i="36"/>
  <c r="Z199" i="36"/>
  <c r="AA203" i="36"/>
  <c r="W207" i="36"/>
  <c r="V41" i="36"/>
  <c r="V59" i="36"/>
  <c r="S200" i="36"/>
  <c r="O200" i="36"/>
  <c r="J116" i="36"/>
  <c r="J28" i="36" s="1"/>
  <c r="AL29" i="32"/>
  <c r="AL40" i="32" s="1"/>
  <c r="AB62" i="36"/>
  <c r="W53" i="36"/>
  <c r="AA122" i="36"/>
  <c r="R29" i="36"/>
  <c r="R15" i="36" s="1"/>
  <c r="V122" i="36"/>
  <c r="Q144" i="36"/>
  <c r="Q29" i="36" s="1"/>
  <c r="AA143" i="36"/>
  <c r="W122" i="36"/>
  <c r="S175" i="36"/>
  <c r="AB83" i="36"/>
  <c r="AB170" i="36"/>
  <c r="AB173" i="36"/>
  <c r="AA44" i="36"/>
  <c r="W180" i="36"/>
  <c r="J175" i="36"/>
  <c r="O196" i="36"/>
  <c r="AA50" i="36"/>
  <c r="AB202" i="36"/>
  <c r="AA198" i="36"/>
  <c r="AB53" i="36"/>
  <c r="V176" i="36"/>
  <c r="AA205" i="36"/>
  <c r="P116" i="36"/>
  <c r="P28" i="36" s="1"/>
  <c r="R204" i="36"/>
  <c r="O40" i="32"/>
  <c r="W40" i="32"/>
  <c r="R40" i="32"/>
  <c r="V203" i="36"/>
  <c r="R196" i="36"/>
  <c r="Y35" i="36"/>
  <c r="AA83" i="36"/>
  <c r="T196" i="36"/>
  <c r="K116" i="36"/>
  <c r="K28" i="36" s="1"/>
  <c r="Y53" i="36"/>
  <c r="R116" i="36"/>
  <c r="Z92" i="36"/>
  <c r="P204" i="36"/>
  <c r="Y185" i="36"/>
  <c r="AA167" i="36"/>
  <c r="AB113" i="36"/>
  <c r="AB176" i="36"/>
  <c r="Z194" i="36"/>
  <c r="V113" i="36"/>
  <c r="Y113" i="36"/>
  <c r="K34" i="32"/>
  <c r="Y207" i="36"/>
  <c r="T40" i="32"/>
  <c r="N21" i="36"/>
  <c r="L196" i="36"/>
  <c r="U40" i="32"/>
  <c r="M29" i="36"/>
  <c r="Z117" i="36"/>
  <c r="S115" i="36"/>
  <c r="S27" i="36" s="1"/>
  <c r="K115" i="36"/>
  <c r="O116" i="36"/>
  <c r="O28" i="36" s="1"/>
  <c r="S116" i="36"/>
  <c r="S28" i="36" s="1"/>
  <c r="AB35" i="36"/>
  <c r="V101" i="36"/>
  <c r="Y101" i="36"/>
  <c r="W101" i="36"/>
  <c r="Y95" i="36"/>
  <c r="V95" i="36"/>
  <c r="W95" i="36"/>
  <c r="W89" i="36"/>
  <c r="V89" i="36"/>
  <c r="V83" i="36"/>
  <c r="Y83" i="36"/>
  <c r="W83" i="36"/>
  <c r="V77" i="36"/>
  <c r="Y65" i="36"/>
  <c r="W65" i="36"/>
  <c r="V65" i="36"/>
  <c r="Y59" i="36"/>
  <c r="W59" i="36"/>
  <c r="V167" i="36"/>
  <c r="Y206" i="36"/>
  <c r="Z205" i="36"/>
  <c r="T200" i="36"/>
  <c r="AB201" i="36"/>
  <c r="L200" i="36"/>
  <c r="Y197" i="36"/>
  <c r="J29" i="36"/>
  <c r="W117" i="36"/>
  <c r="Y117" i="36"/>
  <c r="Y47" i="36"/>
  <c r="Z44" i="36"/>
  <c r="Y41" i="36"/>
  <c r="J115" i="36"/>
  <c r="W41" i="36"/>
  <c r="Z38" i="36"/>
  <c r="Z104" i="36"/>
  <c r="Z98" i="36"/>
  <c r="U115" i="36"/>
  <c r="Z86" i="36"/>
  <c r="M115" i="36"/>
  <c r="Z80" i="36"/>
  <c r="Z71" i="36"/>
  <c r="Z62" i="36"/>
  <c r="V62" i="36"/>
  <c r="AA59" i="36"/>
  <c r="U116" i="36"/>
  <c r="U28" i="36" s="1"/>
  <c r="M116" i="36"/>
  <c r="Y167" i="36"/>
  <c r="W167" i="36"/>
  <c r="AB185" i="36"/>
  <c r="N25" i="36"/>
  <c r="Z113" i="36"/>
  <c r="L205" i="36"/>
  <c r="L204" i="36" s="1"/>
  <c r="Y194" i="36"/>
  <c r="Z170" i="36"/>
  <c r="W170" i="36"/>
  <c r="Z185" i="36"/>
  <c r="V184" i="36"/>
  <c r="W184" i="36"/>
  <c r="Y184" i="36"/>
  <c r="Z207" i="36"/>
  <c r="V207" i="36"/>
  <c r="AB184" i="36"/>
  <c r="W203" i="36"/>
  <c r="Y89" i="36"/>
  <c r="V173" i="36"/>
  <c r="M186" i="36"/>
  <c r="AB206" i="36"/>
  <c r="R185" i="36"/>
  <c r="AA185" i="36" s="1"/>
  <c r="AA173" i="36"/>
  <c r="Y203" i="36"/>
  <c r="V38" i="36"/>
  <c r="Y77" i="36"/>
  <c r="AB117" i="36"/>
  <c r="V50" i="36"/>
  <c r="V35" i="36"/>
  <c r="W35" i="36"/>
  <c r="R200" i="36"/>
  <c r="J200" i="36"/>
  <c r="U196" i="36"/>
  <c r="W198" i="36"/>
  <c r="M206" i="36"/>
  <c r="Z206" i="36" s="1"/>
  <c r="Z191" i="36"/>
  <c r="U204" i="36"/>
  <c r="AA113" i="36"/>
  <c r="W173" i="36"/>
  <c r="O204" i="36"/>
  <c r="J205" i="36"/>
  <c r="W194" i="36"/>
  <c r="V194" i="36"/>
  <c r="N186" i="36"/>
  <c r="N183" i="36" s="1"/>
  <c r="Y170" i="36"/>
  <c r="V170" i="36"/>
  <c r="J25" i="36"/>
  <c r="W113" i="36"/>
  <c r="O115" i="36"/>
  <c r="Y104" i="36"/>
  <c r="V104" i="36"/>
  <c r="W98" i="36"/>
  <c r="Y98" i="36"/>
  <c r="V98" i="36"/>
  <c r="V92" i="36"/>
  <c r="V86" i="36"/>
  <c r="W80" i="36"/>
  <c r="Y80" i="36"/>
  <c r="V80" i="36"/>
  <c r="Y71" i="36"/>
  <c r="W71" i="36"/>
  <c r="W62" i="36"/>
  <c r="W56" i="36"/>
  <c r="W191" i="36"/>
  <c r="T204" i="36"/>
  <c r="U186" i="36"/>
  <c r="I38" i="32"/>
  <c r="I40" i="32" s="1"/>
  <c r="K37" i="32"/>
  <c r="K38" i="32" s="1"/>
  <c r="V199" i="36"/>
  <c r="W109" i="36"/>
  <c r="W92" i="36"/>
  <c r="Y86" i="36"/>
  <c r="R25" i="36"/>
  <c r="Y50" i="36"/>
  <c r="W50" i="36"/>
  <c r="Z47" i="36"/>
  <c r="V44" i="36"/>
  <c r="N115" i="36"/>
  <c r="N116" i="36"/>
  <c r="N28" i="36" s="1"/>
  <c r="Z89" i="36"/>
  <c r="Z83" i="36"/>
  <c r="Z65" i="36"/>
  <c r="Z59" i="36"/>
  <c r="Q116" i="36"/>
  <c r="AA206" i="36"/>
  <c r="AB205" i="36"/>
  <c r="W185" i="36"/>
  <c r="AB177" i="36"/>
  <c r="AB40" i="32"/>
  <c r="AC40" i="32"/>
  <c r="V53" i="36"/>
  <c r="V47" i="36"/>
  <c r="V40" i="32"/>
  <c r="V117" i="36"/>
  <c r="AA117" i="36"/>
  <c r="Q11" i="36"/>
  <c r="AA47" i="36"/>
  <c r="V109" i="36"/>
  <c r="Q115" i="36"/>
  <c r="AA53" i="36"/>
  <c r="AA109" i="36"/>
  <c r="R28" i="36" l="1"/>
  <c r="R114" i="36"/>
  <c r="S26" i="36"/>
  <c r="Q263" i="36"/>
  <c r="Z266" i="36"/>
  <c r="W266" i="36"/>
  <c r="V231" i="36"/>
  <c r="V274" i="36"/>
  <c r="Z287" i="36"/>
  <c r="V266" i="36"/>
  <c r="S267" i="36"/>
  <c r="Y274" i="36"/>
  <c r="L222" i="36"/>
  <c r="Y222" i="36" s="1"/>
  <c r="Z289" i="36"/>
  <c r="Y231" i="36"/>
  <c r="W231" i="36"/>
  <c r="J273" i="36"/>
  <c r="J271" i="36" s="1"/>
  <c r="M10" i="36"/>
  <c r="W228" i="36"/>
  <c r="Y228" i="36"/>
  <c r="N20" i="46"/>
  <c r="V228" i="36"/>
  <c r="Z222" i="36"/>
  <c r="V264" i="36"/>
  <c r="T267" i="36"/>
  <c r="Z264" i="36"/>
  <c r="H18" i="46"/>
  <c r="N15" i="36"/>
  <c r="Z212" i="36"/>
  <c r="W264" i="36"/>
  <c r="J30" i="46"/>
  <c r="O10" i="36"/>
  <c r="P267" i="36"/>
  <c r="P263" i="36"/>
  <c r="O263" i="36"/>
  <c r="R11" i="36"/>
  <c r="AA11" i="36" s="1"/>
  <c r="AA214" i="36"/>
  <c r="Z216" i="36"/>
  <c r="Z214" i="36"/>
  <c r="V293" i="36"/>
  <c r="AA216" i="36"/>
  <c r="J267" i="36"/>
  <c r="Y293" i="36"/>
  <c r="AA268" i="36"/>
  <c r="Q271" i="36"/>
  <c r="Q219" i="36"/>
  <c r="Y178" i="36"/>
  <c r="P196" i="36"/>
  <c r="AA265" i="36"/>
  <c r="T263" i="36"/>
  <c r="P211" i="36"/>
  <c r="O6" i="36"/>
  <c r="AB197" i="36"/>
  <c r="Q215" i="36"/>
  <c r="K19" i="46"/>
  <c r="K20" i="46" s="1"/>
  <c r="Z213" i="36"/>
  <c r="M263" i="36"/>
  <c r="N211" i="36"/>
  <c r="N263" i="36"/>
  <c r="N6" i="36"/>
  <c r="Z265" i="36"/>
  <c r="Y272" i="36"/>
  <c r="O11" i="36"/>
  <c r="Y269" i="36"/>
  <c r="L217" i="36"/>
  <c r="Y217" i="36" s="1"/>
  <c r="E17" i="46"/>
  <c r="K267" i="36"/>
  <c r="M215" i="36"/>
  <c r="O271" i="36"/>
  <c r="M211" i="36"/>
  <c r="K10" i="36"/>
  <c r="AB220" i="36"/>
  <c r="W218" i="36"/>
  <c r="N5" i="36"/>
  <c r="V202" i="36"/>
  <c r="AA178" i="36"/>
  <c r="Z178" i="36"/>
  <c r="M175" i="36"/>
  <c r="Z175" i="36" s="1"/>
  <c r="E28" i="46"/>
  <c r="AA289" i="36"/>
  <c r="AB21" i="36"/>
  <c r="L106" i="36"/>
  <c r="T7" i="36"/>
  <c r="AB7" i="36" s="1"/>
  <c r="AB29" i="36"/>
  <c r="Q6" i="36"/>
  <c r="U106" i="36"/>
  <c r="J7" i="36"/>
  <c r="AA21" i="36"/>
  <c r="L6" i="36"/>
  <c r="R159" i="36"/>
  <c r="AA159" i="36" s="1"/>
  <c r="AA160" i="36"/>
  <c r="V268" i="36"/>
  <c r="AB289" i="36"/>
  <c r="N215" i="36"/>
  <c r="J216" i="36"/>
  <c r="Y216" i="36" s="1"/>
  <c r="M5" i="36"/>
  <c r="V181" i="36"/>
  <c r="Z269" i="36"/>
  <c r="V139" i="36"/>
  <c r="O5" i="36"/>
  <c r="AB137" i="36"/>
  <c r="K133" i="36"/>
  <c r="Y160" i="36"/>
  <c r="J159" i="36"/>
  <c r="Y159" i="36" s="1"/>
  <c r="U217" i="36"/>
  <c r="U215" i="36" s="1"/>
  <c r="AA293" i="36"/>
  <c r="AB293" i="36"/>
  <c r="N14" i="36"/>
  <c r="W202" i="36"/>
  <c r="Z202" i="36"/>
  <c r="V289" i="36"/>
  <c r="O267" i="36"/>
  <c r="W268" i="36"/>
  <c r="AA314" i="36"/>
  <c r="S133" i="36"/>
  <c r="AB133" i="36" s="1"/>
  <c r="U219" i="36"/>
  <c r="N9" i="36"/>
  <c r="P137" i="36"/>
  <c r="AA137" i="36" s="1"/>
  <c r="AA138" i="36"/>
  <c r="O211" i="36"/>
  <c r="Q7" i="36"/>
  <c r="AB310" i="36"/>
  <c r="Q106" i="36"/>
  <c r="P24" i="36"/>
  <c r="P22" i="36" s="1"/>
  <c r="AA217" i="36"/>
  <c r="Z295" i="36"/>
  <c r="P133" i="36"/>
  <c r="R27" i="36"/>
  <c r="R13" i="36" s="1"/>
  <c r="K21" i="36"/>
  <c r="M267" i="36"/>
  <c r="Y268" i="36"/>
  <c r="V201" i="36"/>
  <c r="W265" i="36"/>
  <c r="Y142" i="36"/>
  <c r="AA142" i="36"/>
  <c r="AB160" i="36"/>
  <c r="V197" i="36"/>
  <c r="Y181" i="36"/>
  <c r="V177" i="36"/>
  <c r="W197" i="36"/>
  <c r="Z197" i="36"/>
  <c r="K200" i="36"/>
  <c r="Y200" i="36" s="1"/>
  <c r="Z182" i="36"/>
  <c r="T10" i="36"/>
  <c r="T215" i="36"/>
  <c r="J263" i="36"/>
  <c r="U9" i="36"/>
  <c r="V218" i="36"/>
  <c r="L263" i="36"/>
  <c r="W214" i="36"/>
  <c r="AB269" i="36"/>
  <c r="AB287" i="36"/>
  <c r="Y265" i="36"/>
  <c r="O215" i="36"/>
  <c r="Y291" i="36"/>
  <c r="AA269" i="36"/>
  <c r="R267" i="36"/>
  <c r="Q267" i="36"/>
  <c r="Q10" i="36"/>
  <c r="V269" i="36"/>
  <c r="N271" i="36"/>
  <c r="K18" i="46"/>
  <c r="W269" i="36"/>
  <c r="J106" i="36"/>
  <c r="J20" i="36"/>
  <c r="J6" i="36" s="1"/>
  <c r="M106" i="36"/>
  <c r="AB20" i="36"/>
  <c r="AA20" i="36"/>
  <c r="AE39" i="38"/>
  <c r="P18" i="36"/>
  <c r="Y107" i="36"/>
  <c r="AB108" i="36"/>
  <c r="T110" i="36"/>
  <c r="W178" i="36"/>
  <c r="T18" i="36"/>
  <c r="P6" i="36"/>
  <c r="K175" i="36"/>
  <c r="Y202" i="36"/>
  <c r="M179" i="36"/>
  <c r="Z179" i="36" s="1"/>
  <c r="T6" i="36"/>
  <c r="L175" i="36"/>
  <c r="P106" i="36"/>
  <c r="Y177" i="36"/>
  <c r="AA182" i="36"/>
  <c r="AA108" i="36"/>
  <c r="N22" i="36"/>
  <c r="N110" i="36"/>
  <c r="M110" i="36"/>
  <c r="AA107" i="36"/>
  <c r="U18" i="39"/>
  <c r="L110" i="36"/>
  <c r="L22" i="36"/>
  <c r="F95" i="39"/>
  <c r="T60" i="39"/>
  <c r="T61" i="39"/>
  <c r="P95" i="39"/>
  <c r="AF48" i="39"/>
  <c r="AB111" i="36"/>
  <c r="M18" i="36"/>
  <c r="AN63" i="39"/>
  <c r="R106" i="36"/>
  <c r="T59" i="39"/>
  <c r="M200" i="36"/>
  <c r="AI63" i="39"/>
  <c r="T63" i="39" s="1"/>
  <c r="N106" i="36"/>
  <c r="U63" i="39"/>
  <c r="S18" i="36"/>
  <c r="AK66" i="39"/>
  <c r="AA112" i="36"/>
  <c r="U18" i="36"/>
  <c r="AA200" i="36"/>
  <c r="R110" i="36"/>
  <c r="S110" i="36"/>
  <c r="Y108" i="36"/>
  <c r="AB25" i="36"/>
  <c r="S23" i="36"/>
  <c r="S9" i="36" s="1"/>
  <c r="Q179" i="36"/>
  <c r="AA179" i="36" s="1"/>
  <c r="M6" i="36"/>
  <c r="Q22" i="36"/>
  <c r="W111" i="36"/>
  <c r="AA175" i="36"/>
  <c r="V108" i="36"/>
  <c r="K106" i="36"/>
  <c r="S106" i="36"/>
  <c r="S5" i="36"/>
  <c r="AB182" i="36"/>
  <c r="T18" i="39"/>
  <c r="AH66" i="39"/>
  <c r="W108" i="36"/>
  <c r="Z108" i="36"/>
  <c r="Z20" i="36"/>
  <c r="U55" i="39"/>
  <c r="T55" i="39" s="1"/>
  <c r="W201" i="36"/>
  <c r="Y182" i="36"/>
  <c r="Z201" i="36"/>
  <c r="U5" i="36"/>
  <c r="M76" i="39"/>
  <c r="K78" i="39"/>
  <c r="M78" i="39" s="1"/>
  <c r="U22" i="36"/>
  <c r="Q9" i="36"/>
  <c r="AB24" i="36"/>
  <c r="K22" i="36"/>
  <c r="T22" i="36"/>
  <c r="Y24" i="36"/>
  <c r="Q110" i="36"/>
  <c r="AB112" i="36"/>
  <c r="Z19" i="36"/>
  <c r="T141" i="36"/>
  <c r="AB141" i="36" s="1"/>
  <c r="AB142" i="36"/>
  <c r="N291" i="36"/>
  <c r="Z291" i="36" s="1"/>
  <c r="Z293" i="36"/>
  <c r="V142" i="36"/>
  <c r="Z24" i="36"/>
  <c r="Y112" i="36"/>
  <c r="S263" i="36"/>
  <c r="AB263" i="36" s="1"/>
  <c r="U15" i="36"/>
  <c r="AB15" i="36" s="1"/>
  <c r="K263" i="36"/>
  <c r="W293" i="36"/>
  <c r="S179" i="36"/>
  <c r="AB308" i="36"/>
  <c r="Y135" i="36"/>
  <c r="W135" i="36"/>
  <c r="V135" i="36"/>
  <c r="Y152" i="36"/>
  <c r="L151" i="36"/>
  <c r="W152" i="36"/>
  <c r="V152" i="36"/>
  <c r="Y306" i="36"/>
  <c r="V306" i="36"/>
  <c r="W306" i="36"/>
  <c r="O21" i="36"/>
  <c r="V111" i="36"/>
  <c r="L19" i="36"/>
  <c r="L5" i="36" s="1"/>
  <c r="AA111" i="36"/>
  <c r="J110" i="36"/>
  <c r="W107" i="36"/>
  <c r="AB19" i="36"/>
  <c r="T27" i="36"/>
  <c r="T13" i="36" s="1"/>
  <c r="Z107" i="36"/>
  <c r="T11" i="36"/>
  <c r="AB11" i="36" s="1"/>
  <c r="J19" i="36"/>
  <c r="J5" i="36" s="1"/>
  <c r="Q19" i="36"/>
  <c r="Z306" i="36"/>
  <c r="Z143" i="36"/>
  <c r="O141" i="36"/>
  <c r="V107" i="36"/>
  <c r="Y289" i="36"/>
  <c r="J287" i="36"/>
  <c r="W289" i="36"/>
  <c r="P291" i="36"/>
  <c r="AA291" i="36" s="1"/>
  <c r="Q133" i="36"/>
  <c r="AA133" i="36" s="1"/>
  <c r="AA134" i="36"/>
  <c r="W112" i="36"/>
  <c r="Y111" i="36"/>
  <c r="O110" i="36"/>
  <c r="T106" i="36"/>
  <c r="S6" i="36"/>
  <c r="V143" i="36"/>
  <c r="O106" i="36"/>
  <c r="T5" i="36"/>
  <c r="AA287" i="36"/>
  <c r="AA218" i="36"/>
  <c r="J10" i="36"/>
  <c r="W134" i="36"/>
  <c r="J133" i="36"/>
  <c r="V134" i="36"/>
  <c r="Y134" i="36"/>
  <c r="V308" i="36"/>
  <c r="K179" i="36"/>
  <c r="Y179" i="36" s="1"/>
  <c r="Y310" i="36"/>
  <c r="W310" i="36"/>
  <c r="V310" i="36"/>
  <c r="Y140" i="36"/>
  <c r="V140" i="36"/>
  <c r="W140" i="36"/>
  <c r="Z138" i="36"/>
  <c r="O137" i="36"/>
  <c r="Z137" i="36" s="1"/>
  <c r="W139" i="36"/>
  <c r="Y139" i="36"/>
  <c r="J295" i="36"/>
  <c r="Y297" i="36"/>
  <c r="W297" i="36"/>
  <c r="W138" i="36"/>
  <c r="V138" i="36"/>
  <c r="Y138" i="36"/>
  <c r="J137" i="36"/>
  <c r="P110" i="36"/>
  <c r="K6" i="36"/>
  <c r="AB107" i="36"/>
  <c r="U213" i="36"/>
  <c r="V213" i="36" s="1"/>
  <c r="AA306" i="36"/>
  <c r="J141" i="36"/>
  <c r="Y141" i="36" s="1"/>
  <c r="V265" i="36"/>
  <c r="Y213" i="36"/>
  <c r="V156" i="36"/>
  <c r="W156" i="36"/>
  <c r="Z156" i="36"/>
  <c r="M155" i="36"/>
  <c r="W182" i="36"/>
  <c r="K9" i="36"/>
  <c r="AB265" i="36"/>
  <c r="V112" i="36"/>
  <c r="Y186" i="36"/>
  <c r="Z112" i="36"/>
  <c r="S211" i="36"/>
  <c r="M23" i="36"/>
  <c r="Z310" i="36"/>
  <c r="Z141" i="36"/>
  <c r="K137" i="36"/>
  <c r="R19" i="36"/>
  <c r="Z136" i="36"/>
  <c r="W136" i="36"/>
  <c r="V136" i="36"/>
  <c r="N133" i="36"/>
  <c r="Z133" i="36" s="1"/>
  <c r="W143" i="36"/>
  <c r="K110" i="36"/>
  <c r="P271" i="36"/>
  <c r="J23" i="36"/>
  <c r="Y23" i="36" s="1"/>
  <c r="Y314" i="36"/>
  <c r="W314" i="36"/>
  <c r="V314" i="36"/>
  <c r="N159" i="36"/>
  <c r="W160" i="36"/>
  <c r="Z160" i="36"/>
  <c r="V160" i="36"/>
  <c r="AA310" i="36"/>
  <c r="U110" i="36"/>
  <c r="Z111" i="36"/>
  <c r="V182" i="36"/>
  <c r="V178" i="36"/>
  <c r="AB178" i="36"/>
  <c r="Q211" i="36"/>
  <c r="P14" i="36"/>
  <c r="P12" i="36" s="1"/>
  <c r="AA213" i="36"/>
  <c r="P5" i="36"/>
  <c r="V212" i="36"/>
  <c r="W212" i="36"/>
  <c r="W213" i="36"/>
  <c r="N10" i="36"/>
  <c r="O14" i="36"/>
  <c r="K14" i="36"/>
  <c r="Z221" i="36"/>
  <c r="V214" i="36"/>
  <c r="L14" i="36"/>
  <c r="N219" i="36"/>
  <c r="Z273" i="36"/>
  <c r="O219" i="36"/>
  <c r="L271" i="36"/>
  <c r="L220" i="36"/>
  <c r="R7" i="36"/>
  <c r="V272" i="36"/>
  <c r="AA220" i="36"/>
  <c r="M271" i="36"/>
  <c r="M220" i="36"/>
  <c r="M219" i="36" s="1"/>
  <c r="J211" i="36"/>
  <c r="Y211" i="36" s="1"/>
  <c r="V222" i="36"/>
  <c r="AA212" i="36"/>
  <c r="W272" i="36"/>
  <c r="K220" i="36"/>
  <c r="K219" i="36" s="1"/>
  <c r="K271" i="36"/>
  <c r="J221" i="36"/>
  <c r="Y273" i="36"/>
  <c r="W273" i="36"/>
  <c r="Z217" i="36"/>
  <c r="R297" i="36"/>
  <c r="V297" i="36" s="1"/>
  <c r="AA279" i="36"/>
  <c r="AB291" i="36"/>
  <c r="AB297" i="36"/>
  <c r="T295" i="36"/>
  <c r="T14" i="36"/>
  <c r="T271" i="36"/>
  <c r="U271" i="36"/>
  <c r="AB221" i="36"/>
  <c r="U14" i="36"/>
  <c r="S10" i="36"/>
  <c r="S219" i="36"/>
  <c r="AB273" i="36"/>
  <c r="S271" i="36"/>
  <c r="V273" i="36"/>
  <c r="R271" i="36"/>
  <c r="R221" i="36"/>
  <c r="AA273" i="36"/>
  <c r="R6" i="36"/>
  <c r="R211" i="36"/>
  <c r="AA263" i="36"/>
  <c r="R10" i="36"/>
  <c r="R215" i="36"/>
  <c r="AA196" i="36"/>
  <c r="Z196" i="36"/>
  <c r="K40" i="32"/>
  <c r="T114" i="36"/>
  <c r="AB186" i="36"/>
  <c r="AB175" i="36"/>
  <c r="AB204" i="36"/>
  <c r="AB200" i="36"/>
  <c r="AA204" i="36"/>
  <c r="Y183" i="36"/>
  <c r="L114" i="36"/>
  <c r="P26" i="36"/>
  <c r="W196" i="36"/>
  <c r="AA186" i="36"/>
  <c r="Y28" i="36"/>
  <c r="AB196" i="36"/>
  <c r="M204" i="36"/>
  <c r="Z204" i="36" s="1"/>
  <c r="U183" i="36"/>
  <c r="AB183" i="36" s="1"/>
  <c r="N18" i="36"/>
  <c r="Y116" i="36"/>
  <c r="AA116" i="36"/>
  <c r="AA29" i="36"/>
  <c r="Q15" i="36"/>
  <c r="AA15" i="36" s="1"/>
  <c r="V29" i="36"/>
  <c r="W29" i="36"/>
  <c r="Q141" i="36"/>
  <c r="V144" i="36"/>
  <c r="W144" i="36"/>
  <c r="AA144" i="36"/>
  <c r="V206" i="36"/>
  <c r="N7" i="36"/>
  <c r="L26" i="36"/>
  <c r="W115" i="36"/>
  <c r="W206" i="36"/>
  <c r="AA23" i="36"/>
  <c r="P9" i="36"/>
  <c r="Q28" i="36"/>
  <c r="Q14" i="36" s="1"/>
  <c r="P114" i="36"/>
  <c r="Y196" i="36"/>
  <c r="M114" i="36"/>
  <c r="Z115" i="36"/>
  <c r="M27" i="36"/>
  <c r="N27" i="36"/>
  <c r="N114" i="36"/>
  <c r="U27" i="36"/>
  <c r="U114" i="36"/>
  <c r="O9" i="36"/>
  <c r="O22" i="36"/>
  <c r="N11" i="36"/>
  <c r="Z25" i="36"/>
  <c r="O27" i="36"/>
  <c r="O114" i="36"/>
  <c r="Z186" i="36"/>
  <c r="V186" i="36"/>
  <c r="J11" i="36"/>
  <c r="Y25" i="36"/>
  <c r="W205" i="36"/>
  <c r="V205" i="36"/>
  <c r="Y205" i="36"/>
  <c r="J204" i="36"/>
  <c r="Z29" i="36"/>
  <c r="M15" i="36"/>
  <c r="Y115" i="36"/>
  <c r="J27" i="36"/>
  <c r="J114" i="36"/>
  <c r="V25" i="36"/>
  <c r="K114" i="36"/>
  <c r="K27" i="36"/>
  <c r="AA25" i="36"/>
  <c r="M28" i="36"/>
  <c r="Z116" i="36"/>
  <c r="W25" i="36"/>
  <c r="AB115" i="36"/>
  <c r="S114" i="36"/>
  <c r="V116" i="36"/>
  <c r="W186" i="36"/>
  <c r="W116" i="36"/>
  <c r="V196" i="36"/>
  <c r="V185" i="36"/>
  <c r="R183" i="36"/>
  <c r="AA183" i="36" s="1"/>
  <c r="M183" i="36"/>
  <c r="J15" i="36"/>
  <c r="Y29" i="36"/>
  <c r="AB116" i="36"/>
  <c r="R22" i="36"/>
  <c r="Q114" i="36"/>
  <c r="AA115" i="36"/>
  <c r="Q27" i="36"/>
  <c r="V115" i="36"/>
  <c r="V106" i="36" l="1"/>
  <c r="AB267" i="36"/>
  <c r="Z15" i="36"/>
  <c r="L15" i="36"/>
  <c r="L219" i="36"/>
  <c r="W222" i="36"/>
  <c r="N330" i="36"/>
  <c r="Y267" i="36"/>
  <c r="Z263" i="36"/>
  <c r="U10" i="36"/>
  <c r="U8" i="36" s="1"/>
  <c r="O330" i="36"/>
  <c r="Z271" i="36"/>
  <c r="Z6" i="36"/>
  <c r="W263" i="36"/>
  <c r="AA267" i="36"/>
  <c r="K8" i="36"/>
  <c r="Z211" i="36"/>
  <c r="Z267" i="36"/>
  <c r="K330" i="36"/>
  <c r="W267" i="36"/>
  <c r="P330" i="36"/>
  <c r="Z215" i="36"/>
  <c r="W217" i="36"/>
  <c r="AB217" i="36"/>
  <c r="L10" i="36"/>
  <c r="L8" i="36" s="1"/>
  <c r="V217" i="36"/>
  <c r="AB215" i="36"/>
  <c r="L215" i="36"/>
  <c r="E30" i="46"/>
  <c r="J215" i="36"/>
  <c r="W216" i="36"/>
  <c r="V216" i="36"/>
  <c r="Y175" i="36"/>
  <c r="V21" i="36"/>
  <c r="K7" i="36"/>
  <c r="Y7" i="36" s="1"/>
  <c r="Y21" i="36"/>
  <c r="K18" i="36"/>
  <c r="R26" i="36"/>
  <c r="AA7" i="36"/>
  <c r="V24" i="36"/>
  <c r="P10" i="36"/>
  <c r="AA10" i="36" s="1"/>
  <c r="Z5" i="36"/>
  <c r="Y106" i="36"/>
  <c r="AA24" i="36"/>
  <c r="AB219" i="36"/>
  <c r="W24" i="36"/>
  <c r="Y263" i="36"/>
  <c r="V267" i="36"/>
  <c r="V20" i="36"/>
  <c r="Z106" i="36"/>
  <c r="W200" i="36"/>
  <c r="Y20" i="36"/>
  <c r="W20" i="36"/>
  <c r="V175" i="36"/>
  <c r="Q8" i="36"/>
  <c r="V263" i="36"/>
  <c r="W291" i="36"/>
  <c r="AB18" i="36"/>
  <c r="Y6" i="36"/>
  <c r="AB110" i="36"/>
  <c r="T8" i="36"/>
  <c r="Y110" i="36"/>
  <c r="W6" i="36"/>
  <c r="AA106" i="36"/>
  <c r="W106" i="36"/>
  <c r="AA6" i="36"/>
  <c r="AA110" i="36"/>
  <c r="Z110" i="36"/>
  <c r="W175" i="36"/>
  <c r="M4" i="36"/>
  <c r="T12" i="36"/>
  <c r="L18" i="36"/>
  <c r="AA9" i="36"/>
  <c r="J18" i="36"/>
  <c r="V19" i="36"/>
  <c r="Z200" i="36"/>
  <c r="V200" i="36"/>
  <c r="J9" i="36"/>
  <c r="Y9" i="36" s="1"/>
  <c r="W21" i="36"/>
  <c r="S4" i="36"/>
  <c r="AB5" i="36"/>
  <c r="T4" i="36"/>
  <c r="S22" i="36"/>
  <c r="AB22" i="36" s="1"/>
  <c r="T26" i="36"/>
  <c r="AB23" i="36"/>
  <c r="V23" i="36"/>
  <c r="AB106" i="36"/>
  <c r="V179" i="36"/>
  <c r="J4" i="36"/>
  <c r="W179" i="36"/>
  <c r="Z21" i="36"/>
  <c r="Y19" i="36"/>
  <c r="W110" i="36"/>
  <c r="J22" i="36"/>
  <c r="Y22" i="36" s="1"/>
  <c r="AB179" i="36"/>
  <c r="U211" i="36"/>
  <c r="AB211" i="36" s="1"/>
  <c r="U6" i="36"/>
  <c r="Q18" i="36"/>
  <c r="Q5" i="36"/>
  <c r="Q4" i="36" s="1"/>
  <c r="AA19" i="36"/>
  <c r="W159" i="36"/>
  <c r="Z159" i="36"/>
  <c r="V159" i="36"/>
  <c r="M9" i="36"/>
  <c r="M8" i="36" s="1"/>
  <c r="M22" i="36"/>
  <c r="Z22" i="36" s="1"/>
  <c r="Z155" i="36"/>
  <c r="W155" i="36"/>
  <c r="V155" i="36"/>
  <c r="Z23" i="36"/>
  <c r="V110" i="36"/>
  <c r="V291" i="36"/>
  <c r="Y133" i="36"/>
  <c r="V133" i="36"/>
  <c r="W133" i="36"/>
  <c r="W19" i="36"/>
  <c r="W151" i="36"/>
  <c r="Y151" i="36"/>
  <c r="V151" i="36"/>
  <c r="R18" i="36"/>
  <c r="R5" i="36"/>
  <c r="Y295" i="36"/>
  <c r="W295" i="36"/>
  <c r="Y287" i="36"/>
  <c r="W287" i="36"/>
  <c r="V287" i="36"/>
  <c r="O18" i="36"/>
  <c r="Z18" i="36" s="1"/>
  <c r="O7" i="36"/>
  <c r="O4" i="36" s="1"/>
  <c r="W137" i="36"/>
  <c r="V137" i="36"/>
  <c r="Y137" i="36"/>
  <c r="W23" i="36"/>
  <c r="AB213" i="36"/>
  <c r="P4" i="36"/>
  <c r="AA211" i="36"/>
  <c r="W271" i="36"/>
  <c r="Z10" i="36"/>
  <c r="Z219" i="36"/>
  <c r="Z220" i="36"/>
  <c r="Y271" i="36"/>
  <c r="V220" i="36"/>
  <c r="L13" i="36"/>
  <c r="L12" i="36" s="1"/>
  <c r="Y220" i="36"/>
  <c r="L330" i="36"/>
  <c r="AB10" i="36"/>
  <c r="W211" i="36"/>
  <c r="Y221" i="36"/>
  <c r="W221" i="36"/>
  <c r="J14" i="36"/>
  <c r="Y14" i="36" s="1"/>
  <c r="W220" i="36"/>
  <c r="Y15" i="36"/>
  <c r="J219" i="36"/>
  <c r="R8" i="36"/>
  <c r="AA297" i="36"/>
  <c r="R295" i="36"/>
  <c r="AA295" i="36" s="1"/>
  <c r="AB295" i="36"/>
  <c r="AB271" i="36"/>
  <c r="V271" i="36"/>
  <c r="AA221" i="36"/>
  <c r="R219" i="36"/>
  <c r="V221" i="36"/>
  <c r="AA271" i="36"/>
  <c r="R14" i="36"/>
  <c r="R12" i="36" s="1"/>
  <c r="AA215" i="36"/>
  <c r="AA28" i="36"/>
  <c r="V183" i="36"/>
  <c r="N4" i="36"/>
  <c r="V11" i="36"/>
  <c r="V28" i="36"/>
  <c r="W141" i="36"/>
  <c r="AA141" i="36"/>
  <c r="V141" i="36"/>
  <c r="W11" i="36"/>
  <c r="W15" i="36"/>
  <c r="AB114" i="36"/>
  <c r="O8" i="36"/>
  <c r="O26" i="36"/>
  <c r="O13" i="36"/>
  <c r="O12" i="36" s="1"/>
  <c r="M14" i="36"/>
  <c r="Z28" i="36"/>
  <c r="W28" i="36"/>
  <c r="N26" i="36"/>
  <c r="N13" i="36"/>
  <c r="N12" i="36" s="1"/>
  <c r="J330" i="36"/>
  <c r="Y114" i="36"/>
  <c r="W114" i="36"/>
  <c r="M26" i="36"/>
  <c r="M13" i="36"/>
  <c r="Z27" i="36"/>
  <c r="Y27" i="36"/>
  <c r="J13" i="36"/>
  <c r="J26" i="36"/>
  <c r="W27" i="36"/>
  <c r="S14" i="36"/>
  <c r="AB14" i="36" s="1"/>
  <c r="AB28" i="36"/>
  <c r="S13" i="36"/>
  <c r="AB27" i="36"/>
  <c r="U26" i="36"/>
  <c r="U13" i="36"/>
  <c r="U12" i="36" s="1"/>
  <c r="K26" i="36"/>
  <c r="K13" i="36"/>
  <c r="K12" i="36" s="1"/>
  <c r="Z11" i="36"/>
  <c r="N8" i="36"/>
  <c r="AB9" i="36"/>
  <c r="S8" i="36"/>
  <c r="L4" i="36"/>
  <c r="Y5" i="36"/>
  <c r="Z183" i="36"/>
  <c r="W183" i="36"/>
  <c r="Y11" i="36"/>
  <c r="Z114" i="36"/>
  <c r="M330" i="36"/>
  <c r="Y204" i="36"/>
  <c r="V204" i="36"/>
  <c r="W204" i="36"/>
  <c r="V15" i="36"/>
  <c r="AA22" i="36"/>
  <c r="Q26" i="36"/>
  <c r="V27" i="36"/>
  <c r="Q13" i="36"/>
  <c r="AA27" i="36"/>
  <c r="V114" i="36"/>
  <c r="AA114" i="36"/>
  <c r="Y215" i="36" l="1"/>
  <c r="Y10" i="36"/>
  <c r="W215" i="36"/>
  <c r="V215" i="36"/>
  <c r="K4" i="36"/>
  <c r="W4" i="36" s="1"/>
  <c r="W10" i="36"/>
  <c r="V10" i="36"/>
  <c r="P8" i="36"/>
  <c r="AA8" i="36" s="1"/>
  <c r="AB8" i="36"/>
  <c r="V295" i="36"/>
  <c r="W5" i="36"/>
  <c r="V5" i="36"/>
  <c r="Y18" i="36"/>
  <c r="Z4" i="36"/>
  <c r="J8" i="36"/>
  <c r="Y8" i="36" s="1"/>
  <c r="Z9" i="36"/>
  <c r="AA18" i="36"/>
  <c r="AB6" i="36"/>
  <c r="U4" i="36"/>
  <c r="AB4" i="36" s="1"/>
  <c r="W18" i="36"/>
  <c r="Z7" i="36"/>
  <c r="AA5" i="36"/>
  <c r="R4" i="36"/>
  <c r="AA4" i="36" s="1"/>
  <c r="W22" i="36"/>
  <c r="V18" i="36"/>
  <c r="V22" i="36"/>
  <c r="V6" i="36"/>
  <c r="V9" i="36"/>
  <c r="W9" i="36"/>
  <c r="W7" i="36"/>
  <c r="V211" i="36"/>
  <c r="V7" i="36"/>
  <c r="Z8" i="36"/>
  <c r="Y219" i="36"/>
  <c r="W219" i="36"/>
  <c r="AA14" i="36"/>
  <c r="AA219" i="36"/>
  <c r="V219" i="36"/>
  <c r="Z26" i="36"/>
  <c r="Z14" i="36"/>
  <c r="V14" i="36"/>
  <c r="W14" i="36"/>
  <c r="Y26" i="36"/>
  <c r="W26" i="36"/>
  <c r="M12" i="36"/>
  <c r="Z12" i="36" s="1"/>
  <c r="Z13" i="36"/>
  <c r="J12" i="36"/>
  <c r="Y13" i="36"/>
  <c r="W13" i="36"/>
  <c r="S12" i="36"/>
  <c r="AB12" i="36" s="1"/>
  <c r="AB13" i="36"/>
  <c r="AB26" i="36"/>
  <c r="AA13" i="36"/>
  <c r="Q12" i="36"/>
  <c r="V13" i="36"/>
  <c r="V26" i="36"/>
  <c r="AA26" i="36"/>
  <c r="Y4" i="36" l="1"/>
  <c r="W8" i="36"/>
  <c r="V8" i="36"/>
  <c r="V4" i="36"/>
  <c r="Y12" i="36"/>
  <c r="W12" i="36"/>
  <c r="AA12" i="36"/>
  <c r="V12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tc={73CBE2B7-BEA9-4A2B-BEBA-D4882F2C9528}</author>
  </authors>
  <commentList>
    <comment ref="H5" authorId="0" shapeId="0" xr:uid="{73CBE2B7-BEA9-4A2B-BEBA-D4882F2C9528}">
      <text>
        <t>[Threaded comment]
Your version of Excel allows you to read this threaded comment; however, any edits to it will get removed if the file is opened in a newer version of Excel. Learn more: https://go.microsoft.com/fwlink/?linkid=870924
Comment:
    1.373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tc={8A2EBF9D-24B5-4937-A616-3704A50E8F22}</author>
  </authors>
  <commentList>
    <comment ref="H5" authorId="0" shapeId="0" xr:uid="{8A2EBF9D-24B5-4937-A616-3704A50E8F22}">
      <text>
        <t>[Threaded comment]
Your version of Excel allows you to read this threaded comment; however, any edits to it will get removed if the file is opened in a newer version of Excel. Learn more: https://go.microsoft.com/fwlink/?linkid=870924
Comment:
    1.373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tc={EA282B7E-FB9B-4BFB-9014-E6C309B3BD9B}</author>
  </authors>
  <commentList>
    <comment ref="H5" authorId="0" shapeId="0" xr:uid="{EA282B7E-FB9B-4BFB-9014-E6C309B3BD9B}">
      <text>
        <t>[Threaded comment]
Your version of Excel allows you to read this threaded comment; however, any edits to it will get removed if the file is opened in a newer version of Excel. Learn more: https://go.microsoft.com/fwlink/?linkid=870924
Comment:
    1.373</t>
      </text>
    </comment>
  </commentList>
</comments>
</file>

<file path=xl/sharedStrings.xml><?xml version="1.0" encoding="utf-8"?>
<sst xmlns="http://schemas.openxmlformats.org/spreadsheetml/2006/main" count="2728" uniqueCount="338">
  <si>
    <t>FY 2024-25 | Khavda Solar Projects Monthly Commissioning Plan (MWac)</t>
  </si>
  <si>
    <t>For Internal Purpose</t>
  </si>
  <si>
    <t>Priority</t>
  </si>
  <si>
    <t>Project</t>
  </si>
  <si>
    <t>SPV</t>
  </si>
  <si>
    <t>Plot No</t>
  </si>
  <si>
    <t>Plot No GP</t>
  </si>
  <si>
    <t>Category</t>
  </si>
  <si>
    <t>MMS Type</t>
  </si>
  <si>
    <t>Module Source</t>
  </si>
  <si>
    <t>Module Wp</t>
  </si>
  <si>
    <t>Capacity
(MWac)</t>
  </si>
  <si>
    <t>OL</t>
  </si>
  <si>
    <t>Capacity (MWdc)</t>
  </si>
  <si>
    <t>PSS No.</t>
  </si>
  <si>
    <t>PSS
Charging Date</t>
  </si>
  <si>
    <t>SCOD</t>
  </si>
  <si>
    <t>Commissioning as per Growth Plan</t>
  </si>
  <si>
    <t>Plot Head</t>
  </si>
  <si>
    <t>Commissioning as per Growth Plan
(R5 - 08-Feb-25)</t>
  </si>
  <si>
    <t>Capex BOQ Release Date</t>
  </si>
  <si>
    <t>LTA Phase</t>
  </si>
  <si>
    <t>Expected LTA Operationalization</t>
  </si>
  <si>
    <t xml:space="preserve">Plant Code </t>
  </si>
  <si>
    <t>SUPPLY Plant Code</t>
  </si>
  <si>
    <t>SERVICE Plant Code</t>
  </si>
  <si>
    <t>Charging Start</t>
  </si>
  <si>
    <t>Charging Finish</t>
  </si>
  <si>
    <t>Capex NFA Status</t>
  </si>
  <si>
    <t>Total
(MW)</t>
  </si>
  <si>
    <t>AGEL Merchant</t>
  </si>
  <si>
    <t>ARE56L</t>
  </si>
  <si>
    <t>S-08</t>
  </si>
  <si>
    <t>Merchant</t>
  </si>
  <si>
    <t>HSAT</t>
  </si>
  <si>
    <t>PSS-09</t>
  </si>
  <si>
    <t>Charged</t>
  </si>
  <si>
    <t>Arvind Kulshrestha</t>
  </si>
  <si>
    <t>A-02</t>
  </si>
  <si>
    <t>PSS-04</t>
  </si>
  <si>
    <t>Akhil Agarwal</t>
  </si>
  <si>
    <t>MLP AP New</t>
  </si>
  <si>
    <t>ARE57L</t>
  </si>
  <si>
    <t>A-11</t>
  </si>
  <si>
    <t>PPA</t>
  </si>
  <si>
    <t>PSS-13</t>
  </si>
  <si>
    <t>Salim Beg</t>
  </si>
  <si>
    <t>A-12</t>
  </si>
  <si>
    <t>Bikash Kumar</t>
  </si>
  <si>
    <t>SECI H-3</t>
  </si>
  <si>
    <t>AHEJ5L</t>
  </si>
  <si>
    <t>A-13</t>
  </si>
  <si>
    <t>FT</t>
  </si>
  <si>
    <t>PSS-05</t>
  </si>
  <si>
    <t>Syed Ali</t>
  </si>
  <si>
    <t>ARE45L</t>
  </si>
  <si>
    <t>A-14</t>
  </si>
  <si>
    <t>MLP T3 AP</t>
  </si>
  <si>
    <t>S-06</t>
  </si>
  <si>
    <t>PSS-10</t>
  </si>
  <si>
    <t>Ramesh Suthar</t>
  </si>
  <si>
    <t>Monthwise FY 24-25 Projects (A)</t>
  </si>
  <si>
    <t>Group</t>
  </si>
  <si>
    <t>EPC</t>
  </si>
  <si>
    <t>Total</t>
  </si>
  <si>
    <t>FY 2025-26 | Khavda Solar Projects Monthly Commissioning Plan (MWac)</t>
  </si>
  <si>
    <t>In May-25 &amp; Jun-25 @1.15 OL &amp; balance 1.37 OL by Jul to Sep-25</t>
  </si>
  <si>
    <t>IDT
(No.s)</t>
  </si>
  <si>
    <t>P-01</t>
  </si>
  <si>
    <t>Google Hybrid</t>
  </si>
  <si>
    <t>ARE3L</t>
  </si>
  <si>
    <t>A-6</t>
  </si>
  <si>
    <t>A18</t>
  </si>
  <si>
    <t>Merchant-Google</t>
  </si>
  <si>
    <t>ALMM</t>
  </si>
  <si>
    <t>PSS-08</t>
  </si>
  <si>
    <t>-</t>
  </si>
  <si>
    <t>Trilochan Saggu</t>
  </si>
  <si>
    <t>Phase - II</t>
  </si>
  <si>
    <t>P-02</t>
  </si>
  <si>
    <t>ASEJ6PL</t>
  </si>
  <si>
    <t>A18, S9</t>
  </si>
  <si>
    <t>Merchant-Hybrid</t>
  </si>
  <si>
    <t>P-03</t>
  </si>
  <si>
    <t>AGEL Hybrid Merchant</t>
  </si>
  <si>
    <t>ARE48L</t>
  </si>
  <si>
    <t>S-8</t>
  </si>
  <si>
    <t>S7, S8</t>
  </si>
  <si>
    <t>Arvind / Dhritiman</t>
  </si>
  <si>
    <t>Phase - III</t>
  </si>
  <si>
    <t>P-04</t>
  </si>
  <si>
    <t>A-15a</t>
  </si>
  <si>
    <t>A15</t>
  </si>
  <si>
    <t>Atul Kumar Kothari</t>
  </si>
  <si>
    <t>P-05a</t>
  </si>
  <si>
    <t>AGE26BL</t>
  </si>
  <si>
    <t>S-5</t>
  </si>
  <si>
    <t>S5, S6</t>
  </si>
  <si>
    <t>P. Raja</t>
  </si>
  <si>
    <t>P-05b</t>
  </si>
  <si>
    <t>P-06</t>
  </si>
  <si>
    <t>AGE24L</t>
  </si>
  <si>
    <t>P-07</t>
  </si>
  <si>
    <t>A13, A14, A17</t>
  </si>
  <si>
    <t>P-08</t>
  </si>
  <si>
    <t>Cement - Hybrid</t>
  </si>
  <si>
    <t>ACL</t>
  </si>
  <si>
    <t>A-1</t>
  </si>
  <si>
    <t>A1, A2</t>
  </si>
  <si>
    <t>Rupesh Kumar</t>
  </si>
  <si>
    <t>P-14</t>
  </si>
  <si>
    <t>AGE25CL</t>
  </si>
  <si>
    <t>A6</t>
  </si>
  <si>
    <t>China</t>
  </si>
  <si>
    <t>P-09</t>
  </si>
  <si>
    <t>MLP T1 J&amp;K</t>
  </si>
  <si>
    <t>AGE26AL</t>
  </si>
  <si>
    <t>A-16</t>
  </si>
  <si>
    <t>A16</t>
  </si>
  <si>
    <t>SEA</t>
  </si>
  <si>
    <t>PSS-06</t>
  </si>
  <si>
    <t>Phase - I</t>
  </si>
  <si>
    <t>P-10</t>
  </si>
  <si>
    <t>MLP T1 CG</t>
  </si>
  <si>
    <t>P-11</t>
  </si>
  <si>
    <t>MLP T1 TN</t>
  </si>
  <si>
    <t>P-12</t>
  </si>
  <si>
    <t>MLP T1 OR</t>
  </si>
  <si>
    <t>P-13</t>
  </si>
  <si>
    <t>MLP T1 TR</t>
  </si>
  <si>
    <t>A10a</t>
  </si>
  <si>
    <t>A9, A10</t>
  </si>
  <si>
    <t>PSS-03</t>
  </si>
  <si>
    <t>P-15</t>
  </si>
  <si>
    <t>P-16</t>
  </si>
  <si>
    <t>S-4</t>
  </si>
  <si>
    <t>PSS-11</t>
  </si>
  <si>
    <t>P-17</t>
  </si>
  <si>
    <t>P-18a</t>
  </si>
  <si>
    <t>KCTL</t>
  </si>
  <si>
    <t>Copper</t>
  </si>
  <si>
    <t>P-18b</t>
  </si>
  <si>
    <t>MCIPL</t>
  </si>
  <si>
    <t>P-19</t>
  </si>
  <si>
    <t>ASEJo6PL</t>
  </si>
  <si>
    <t>Monthwise FY 25-26 Projects (B)</t>
  </si>
  <si>
    <t>Monthwise FY 24-26 Projects (A) +  (B)</t>
  </si>
  <si>
    <t>FY Wise &amp; Quaterly Breakup</t>
  </si>
  <si>
    <t>b.	For 25-26 Merchant Projects 627 MW commissioning planned in May-25 &amp; Jun-25 to be commissioned at 1.15 DC overloading, and full capacity DC overloading shall be achieved during July-25 to Sep-25 (need to be considered during revenue projections)</t>
  </si>
  <si>
    <t>FY 2024-26 | Khavda Solar Projects Monthly Commissioning Plan (MWac)</t>
  </si>
  <si>
    <t>FY 24-25 Projects</t>
  </si>
  <si>
    <t>Total FY 24-26</t>
  </si>
  <si>
    <t>PSS-01</t>
  </si>
  <si>
    <t>A-2</t>
  </si>
  <si>
    <t>PSS-02</t>
  </si>
  <si>
    <t>PSS-07</t>
  </si>
  <si>
    <t>S-2</t>
  </si>
  <si>
    <t>PSS-12</t>
  </si>
  <si>
    <t>S-6</t>
  </si>
  <si>
    <t>PSS-14</t>
  </si>
  <si>
    <t>NHPC</t>
  </si>
  <si>
    <t>FY 24-26</t>
  </si>
  <si>
    <t>P-05</t>
  </si>
  <si>
    <t>AGEL FY 25-26 Commissioning Status Update</t>
  </si>
  <si>
    <t>For Chairman Budget Purpose @6.5GW +535 MW carryover</t>
  </si>
  <si>
    <t>Monthwise Distribution</t>
  </si>
  <si>
    <t>Quarterly Distribution</t>
  </si>
  <si>
    <t>Plan / Actual</t>
  </si>
  <si>
    <t>Total Capacity</t>
  </si>
  <si>
    <t>Cumm till 30-Nov-25</t>
  </si>
  <si>
    <t>Q1</t>
  </si>
  <si>
    <t>Q2</t>
  </si>
  <si>
    <t>Q3</t>
  </si>
  <si>
    <t>Q4</t>
  </si>
  <si>
    <t>AGEL Overall FY 2025-26 
(1+2)</t>
  </si>
  <si>
    <t>Plan</t>
  </si>
  <si>
    <t>Rephase</t>
  </si>
  <si>
    <t>Actual / Fcst</t>
  </si>
  <si>
    <t>1. AGEL Overall Solar FY 2025-26 
(A + B + C)</t>
  </si>
  <si>
    <t>S. No.</t>
  </si>
  <si>
    <t xml:space="preserve">Project Name </t>
  </si>
  <si>
    <t>Type</t>
  </si>
  <si>
    <t>Plot / Location / PSS</t>
  </si>
  <si>
    <t>Capacity</t>
  </si>
  <si>
    <t>Plan Actual</t>
  </si>
  <si>
    <t>A. Khavda Solar Projects</t>
  </si>
  <si>
    <t>AGE25BL</t>
  </si>
  <si>
    <t>12a</t>
  </si>
  <si>
    <t>12b</t>
  </si>
  <si>
    <t>A. Subtotal (Khavda Solar Projects)</t>
  </si>
  <si>
    <t>B. Rajasthan Solar Projects</t>
  </si>
  <si>
    <t>Cement  RJ</t>
  </si>
  <si>
    <t>Essel park</t>
  </si>
  <si>
    <t>Bap</t>
  </si>
  <si>
    <t>Bandha</t>
  </si>
  <si>
    <t xml:space="preserve">MLP T1 </t>
  </si>
  <si>
    <t>C. Rajasthan Solar Projects (Additional to Chairman Plan - 500 MW)</t>
  </si>
  <si>
    <t>NHPC BOO</t>
  </si>
  <si>
    <t>ASEB1PL</t>
  </si>
  <si>
    <t>Baiya</t>
  </si>
  <si>
    <t>C. Rajasthan Solar Projects 
(Additional to Chairman Plan - 500 MW)</t>
  </si>
  <si>
    <t>D1. Khavda Solar (Copper + Merchant - 50 MW)</t>
  </si>
  <si>
    <t>D1. Khavda Solar 
(Copper + Merchant - 50 MW)</t>
  </si>
  <si>
    <t>D2. Khavda Solar (Additional for Internal - 650 MW)</t>
  </si>
  <si>
    <t>D2. Khavda Solar 
(Additional from Internal - 650 MW)</t>
  </si>
  <si>
    <t>2. AGEL Overall Wind FY 2025-26 
(A + C)</t>
  </si>
  <si>
    <t>A. Khavda Wind Projects</t>
  </si>
  <si>
    <t>Hybrid Cement</t>
  </si>
  <si>
    <t>ARE41L</t>
  </si>
  <si>
    <t>11a</t>
  </si>
  <si>
    <t>A. Subtotal (Khavda Wind Projects)</t>
  </si>
  <si>
    <t>B. Khavda Wind (Additional for Internal - 421 MW)</t>
  </si>
  <si>
    <t>11b</t>
  </si>
  <si>
    <t>PSS-11(32.2 MW)
PSS-14(67.6 MW)</t>
  </si>
  <si>
    <t>B. Subtotal (Additional for Internal - 421 MW)</t>
  </si>
  <si>
    <t>C. Mundra Wind - 76 MW (Chairman)</t>
  </si>
  <si>
    <t>Merchant-Wind</t>
  </si>
  <si>
    <t>AWEK3L</t>
  </si>
  <si>
    <t>Mundra North</t>
  </si>
  <si>
    <t>C. Mundra Wind</t>
  </si>
  <si>
    <t>D. Mundra Wind - (Additional for Internal 224.4)</t>
  </si>
  <si>
    <t>Khavda Projects</t>
  </si>
  <si>
    <t>OS Khavda Projects</t>
  </si>
  <si>
    <t>Out of 57.2 MW (11 WTGs), 7 WTG TR Done in Nov-25, but COD in Dec-25</t>
  </si>
  <si>
    <t>Forecast</t>
  </si>
  <si>
    <t>Actual</t>
  </si>
  <si>
    <t>FY 2025-26 | Khavda Wind Projects Monthly Commissioning Plan (MWac)</t>
  </si>
  <si>
    <t>Date: 30-Dec-25</t>
  </si>
  <si>
    <t>Sl.</t>
  </si>
  <si>
    <t>Capacity
(MW)</t>
  </si>
  <si>
    <t>WTG Nos.</t>
  </si>
  <si>
    <t>AGEL Merchant (Wind)</t>
  </si>
  <si>
    <t>Hybrid Cement (Wind)</t>
  </si>
  <si>
    <t>AGEL Hybrid Merchant (Wind)</t>
  </si>
  <si>
    <t>Google Hybrid (Wind)</t>
  </si>
  <si>
    <t>SECI H-3 (Wind)</t>
  </si>
  <si>
    <t>Total - MW</t>
  </si>
  <si>
    <t>Total - WTG</t>
  </si>
  <si>
    <t>Additional for internal</t>
  </si>
  <si>
    <t>Total (for Internal)</t>
  </si>
  <si>
    <t>Mwac</t>
  </si>
  <si>
    <t>WTG</t>
  </si>
  <si>
    <t>Budget Plan</t>
  </si>
  <si>
    <t>Internal Plan</t>
  </si>
  <si>
    <t>Actual YTD Dec-25</t>
  </si>
  <si>
    <t>Balance Budget</t>
  </si>
  <si>
    <t>Balance Internal</t>
  </si>
  <si>
    <t>Phase-III: Khavda Solar Projects Monthly COD Actuals &amp; Forecast (MWac)</t>
  </si>
  <si>
    <t>TR Done in Nov-25 but COD in Dec-25</t>
  </si>
  <si>
    <t>In addition to COD</t>
  </si>
  <si>
    <t>Physical Progress Status till 27/28-Dec</t>
  </si>
  <si>
    <t>Manpower as per DPR</t>
  </si>
  <si>
    <t>Charging</t>
  </si>
  <si>
    <t xml:space="preserve">Trail Run </t>
  </si>
  <si>
    <t>Trail Run Certificate</t>
  </si>
  <si>
    <t>Piling</t>
  </si>
  <si>
    <t>MMS 
(Purlin)</t>
  </si>
  <si>
    <t>Module</t>
  </si>
  <si>
    <t>IDT</t>
  </si>
  <si>
    <t>Avaliable as of 27/28-Dec</t>
  </si>
  <si>
    <t>Required</t>
  </si>
  <si>
    <t>Completed</t>
  </si>
  <si>
    <t>15-Jun-29 
(LTA +15D)</t>
  </si>
  <si>
    <t>31-Dec-25
(LTA)</t>
  </si>
  <si>
    <t>C:92%; E:83%</t>
  </si>
  <si>
    <t>C:100%; E:83%</t>
  </si>
  <si>
    <t>C:50%; E:50%</t>
  </si>
  <si>
    <t>A-16a</t>
  </si>
  <si>
    <t>A-16b</t>
  </si>
  <si>
    <t>C:63%; E:63%</t>
  </si>
  <si>
    <t>A-16c</t>
  </si>
  <si>
    <t>C:0%; E:0%</t>
  </si>
  <si>
    <t>A-16d</t>
  </si>
  <si>
    <t>C:15%; E:11%</t>
  </si>
  <si>
    <t>08-Dec-25 
(LTA -23D)</t>
  </si>
  <si>
    <t>C:59%; E:47%</t>
  </si>
  <si>
    <t>Subtotal (A)</t>
  </si>
  <si>
    <t>Subtotal (D1)</t>
  </si>
  <si>
    <t>D2. Khavda Solar (Additional from Internal - 650 MW)</t>
  </si>
  <si>
    <t>C:60%; E:7%</t>
  </si>
  <si>
    <t>Subtotal (D2)</t>
  </si>
  <si>
    <t>Overall Total (A + D1 + D2)</t>
  </si>
  <si>
    <t>FY 2025-26 | RJ &amp; AP Solar Projects Monthly Commissioning Plan (MWac)</t>
  </si>
  <si>
    <t>Date: 1-Oct-25</t>
  </si>
  <si>
    <t>Location</t>
  </si>
  <si>
    <t>Commissioning as per Business Plan</t>
  </si>
  <si>
    <t>Till Feb-25</t>
  </si>
  <si>
    <t>Ambuja Cement Limited</t>
  </si>
  <si>
    <t>Essel Park</t>
  </si>
  <si>
    <t>NA</t>
  </si>
  <si>
    <t>Ultratech</t>
  </si>
  <si>
    <t>Extension awaited</t>
  </si>
  <si>
    <t>Capex Approved</t>
  </si>
  <si>
    <t>Approved</t>
  </si>
  <si>
    <t>MLP AP NEW</t>
  </si>
  <si>
    <t>MLP T1</t>
  </si>
  <si>
    <t>AGE27L</t>
  </si>
  <si>
    <t>LTA+60 Days</t>
  </si>
  <si>
    <t>Date: 26-Dec-25</t>
  </si>
  <si>
    <t>FY 2024-26 | Khavda Wind Projects Monthly Commissioning Plan (MWac)</t>
  </si>
  <si>
    <t>Date: 31-Mar-25</t>
  </si>
  <si>
    <t xml:space="preserve"> </t>
  </si>
  <si>
    <t>Chairman Budget Purpose Revised</t>
  </si>
  <si>
    <t>Date: 30-Jun-25</t>
  </si>
  <si>
    <t>FY 2025-26 | Khavda Wind Projects Monthly Commissioning Plan (MWac) (Phase-02 Carry forward)</t>
  </si>
  <si>
    <t>Date : 08-Dec-25</t>
  </si>
  <si>
    <t>Total Capacity
(MW)</t>
  </si>
  <si>
    <t>Total WTG Nos.</t>
  </si>
  <si>
    <t>Till
Mar-25</t>
  </si>
  <si>
    <t>FY 25-26 Total (Plan)</t>
  </si>
  <si>
    <t>FY 25-26 Commissioned till Nov-25</t>
  </si>
  <si>
    <t>FY 24-25 Commissioned</t>
  </si>
  <si>
    <t>Total Commissioned till Nov-25</t>
  </si>
  <si>
    <t>MW</t>
  </si>
  <si>
    <t>Hybrid Port (Wind)</t>
  </si>
  <si>
    <t>APSEZ</t>
  </si>
  <si>
    <t>PSS-3</t>
  </si>
  <si>
    <r>
      <rPr>
        <strike/>
        <sz val="10"/>
        <color theme="1"/>
        <rFont val="Adani Regular"/>
      </rPr>
      <t xml:space="preserve">ARE48L </t>
    </r>
    <r>
      <rPr>
        <sz val="10"/>
        <color theme="1"/>
        <rFont val="Adani Regular"/>
      </rPr>
      <t>AGE25BL</t>
    </r>
  </si>
  <si>
    <t>AESL PPA (C&amp;I) - Wind - RSWM</t>
  </si>
  <si>
    <t>PSS</t>
  </si>
  <si>
    <t>WTGs</t>
  </si>
  <si>
    <t xml:space="preserve"> Monthwise FY 24-25 Projects (A)  - Total (MW)</t>
  </si>
  <si>
    <t>Total (No of WTG's)</t>
  </si>
  <si>
    <t>AHEJ5L (PPA)</t>
  </si>
  <si>
    <t>Till Dec-24</t>
  </si>
  <si>
    <t>FY 2025-26 | Khavda Wind Projects Monthly Commissioning Plan (MWac) (Phase-03)</t>
  </si>
  <si>
    <t>nnd--2</t>
  </si>
  <si>
    <t xml:space="preserve"> Monthwise FY 25-26 Projects (B)  - Total (MW)</t>
  </si>
  <si>
    <t xml:space="preserve"> Monthwise FY 25-26 Projects (B)  - Total (WTGs)</t>
  </si>
  <si>
    <t xml:space="preserve"> Monthwise FY 24-26 Projects (A+B)  - Total (MW)</t>
  </si>
  <si>
    <t xml:space="preserve"> Monthwise FY 24-26 Projects (A+B)  - Total (WTGs)</t>
  </si>
  <si>
    <t>Note : WTG Commissioning of PSS-11 &amp; 12 is linked with PSS charging.</t>
  </si>
  <si>
    <t>Overall Status</t>
  </si>
  <si>
    <t>Total Plan</t>
  </si>
  <si>
    <t>Total Actual</t>
  </si>
  <si>
    <t>FY 2025-26 | Wind Projects (O/S Khavda Monthly Commissioning Plan (MWac)</t>
  </si>
  <si>
    <t>AGE32L</t>
  </si>
  <si>
    <t>Mandvi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</si>
</sst>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_ * #,##0_ ;_ * \-#,##0_ ;_ * &quot;-&quot;_ ;_ @_ "/>
    <numFmt numFmtId="165" formatCode="#,##0.0"/>
    <numFmt numFmtId="166" formatCode="_ * #,##0_ ;_ * \-#,##0_ ;_ * &quot;-&quot;??_ ;_ @_ "/>
    <numFmt numFmtId="167" formatCode="0.0"/>
    <numFmt numFmtId="168" formatCode="0.0%"/>
  </numFmts>
  <fonts count="50">
    <font>
      <sz val="10"/>
      <color theme="1"/>
      <name val="Adani Regular"/>
      <family val="2"/>
    </font>
    <font>
      <sz val="10"/>
      <name val="Adani Regular"/>
      <family val="2"/>
    </font>
    <font>
      <b/>
      <sz val="10"/>
      <color theme="1"/>
      <name val="Adani Regular"/>
    </font>
    <font>
      <sz val="10"/>
      <color theme="1"/>
      <name val="Adani Regular"/>
      <family val="2"/>
    </font>
    <font>
      <sz val="8"/>
      <name val="Adani Regular"/>
      <family val="2"/>
    </font>
    <font>
      <b/>
      <sz val="10"/>
      <color theme="1"/>
      <name val="Adani Regular"/>
      <family val="2"/>
    </font>
    <font>
      <b/>
      <sz val="10"/>
      <color theme="0"/>
      <name val="Adani Regular"/>
    </font>
    <font>
      <b/>
      <sz val="10"/>
      <color theme="0"/>
      <name val="Adani Regular"/>
      <family val="2"/>
    </font>
    <font>
      <b/>
      <sz val="14"/>
      <name val="Adani Regular"/>
    </font>
    <font>
      <sz val="12"/>
      <name val="Adani Regular"/>
    </font>
    <font>
      <b/>
      <sz val="14"/>
      <name val="Adani Regular"/>
      <family val="2"/>
    </font>
    <font>
      <sz val="12"/>
      <name val="Adani Regular"/>
      <family val="2"/>
    </font>
    <font>
      <sz val="10"/>
      <color rgb="FFFF0000"/>
      <name val="Adani Regular"/>
      <family val="2"/>
    </font>
    <font>
      <sz val="10"/>
      <color rgb="FF00B050"/>
      <name val="Adani Regular"/>
      <family val="2"/>
    </font>
    <font>
      <b/>
      <sz val="12"/>
      <color rgb="FFFF0000"/>
      <name val="Adani Regular"/>
    </font>
    <font>
      <b/>
      <sz val="10"/>
      <color rgb="FF00B050"/>
      <name val="Adani Regular"/>
      <family val="2"/>
    </font>
    <font>
      <sz val="8"/>
      <color rgb="FF000000"/>
      <name val="Adani Regular"/>
    </font>
    <font>
      <b/>
      <sz val="8"/>
      <color rgb="FF000000"/>
      <name val="Adani Regular"/>
    </font>
    <font>
      <sz val="10"/>
      <color rgb="FF00B050"/>
      <name val="Adani Regular"/>
    </font>
    <font>
      <sz val="9"/>
      <color theme="1"/>
      <name val="Adani Regular"/>
      <family val="2"/>
    </font>
    <font>
      <b/>
      <sz val="10"/>
      <color rgb="FF00B050"/>
      <name val="Adani Regular"/>
    </font>
    <font>
      <sz val="10"/>
      <color theme="1"/>
      <name val="Adani Regular"/>
    </font>
    <font>
      <b/>
      <sz val="10"/>
      <color rgb="FFFFFFFF"/>
      <name val="Adani Regular"/>
    </font>
    <font>
      <sz val="10"/>
      <color rgb="FF000000"/>
      <name val="Adani Regular"/>
    </font>
    <font>
      <b/>
      <sz val="10"/>
      <color rgb="FF000000"/>
      <name val="Adani Regular"/>
    </font>
    <font>
      <sz val="10"/>
      <color rgb="FF00B0F0"/>
      <name val="Adani Regular"/>
      <family val="2"/>
    </font>
    <font>
      <sz val="9"/>
      <color rgb="FF000000"/>
      <name val="Adani Regular"/>
    </font>
    <font>
      <sz val="9"/>
      <color theme="1"/>
      <name val="Adani Regular"/>
    </font>
    <font>
      <b/>
      <sz val="9"/>
      <color rgb="FF000000"/>
      <name val="Adani Regular"/>
    </font>
    <font>
      <sz val="8"/>
      <color theme="1"/>
      <name val="Adani Regular"/>
    </font>
    <font>
      <sz val="10"/>
      <color rgb="FF000000"/>
      <name val="Adani Regular"/>
      <family val="2"/>
    </font>
    <font>
      <b/>
      <sz val="10"/>
      <name val="Adani Regular"/>
    </font>
    <font>
      <b/>
      <sz val="12"/>
      <color rgb="FF000000"/>
      <name val="Adani Regular"/>
    </font>
    <font>
      <sz val="11"/>
      <color theme="1"/>
      <name val="Adani Regular"/>
    </font>
    <font>
      <sz val="14"/>
      <color theme="1"/>
      <name val="Adani Regular"/>
    </font>
    <font>
      <b/>
      <sz val="14"/>
      <color theme="1"/>
      <name val="Adani Regular"/>
    </font>
    <font>
      <b/>
      <sz val="14"/>
      <color theme="0"/>
      <name val="Adani Regular"/>
    </font>
    <font>
      <b/>
      <sz val="14"/>
      <color rgb="FFFF0000"/>
      <name val="Adani Regular"/>
    </font>
    <font>
      <b/>
      <sz val="14"/>
      <color rgb="FF000000"/>
      <name val="Adani Regular"/>
    </font>
    <font>
      <b/>
      <sz val="11"/>
      <color theme="1"/>
      <name val="Adani Regular"/>
    </font>
    <font>
      <i/>
      <sz val="10"/>
      <color theme="1"/>
      <name val="Adani Regular"/>
    </font>
    <font>
      <b/>
      <sz val="10"/>
      <name val="Adani Regular"/>
      <family val="2"/>
    </font>
    <font>
      <sz val="10"/>
      <color rgb="FF0070C0"/>
      <name val="Adani Regular"/>
      <family val="2"/>
    </font>
    <font>
      <strike/>
      <sz val="10"/>
      <color theme="1"/>
      <name val="Adani Regular"/>
    </font>
    <font>
      <i/>
      <sz val="9"/>
      <color theme="1"/>
      <name val="Adani Regular"/>
    </font>
    <font>
      <i/>
      <sz val="9"/>
      <name val="Adani Regular"/>
    </font>
    <font>
      <b/>
      <sz val="12"/>
      <color theme="1"/>
      <name val="Adani Regular"/>
    </font>
    <font>
      <sz val="10"/>
      <name val="Adani Regular"/>
    </font>
    <font>
      <b/>
      <sz val="10"/>
      <color rgb="FF0070C0"/>
      <name val="Adani Regular"/>
    </font>
    <font>
      <sz val="10"/>
      <color rgb="FF0070C0"/>
      <name val="Adani Regula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BA2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hair">
        <color indexed="64"/>
      </top>
      <bottom style="hair">
        <color indexed="64"/>
      </bottom>
      <diagonal/>
    </border>
    <border>
      <left/>
      <right style="thin">
        <color theme="0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theme="0"/>
      </left>
      <right/>
      <top style="hair">
        <color indexed="64"/>
      </top>
      <bottom/>
      <diagonal/>
    </border>
    <border>
      <left style="thin">
        <color theme="0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707">
    <xf numFmtId="0" fontId="0" fillId="0" borderId="0" xfId="0"/>
    <xf numFmtId="0" fontId="0" fillId="0" borderId="0" xfId="0" applyAlignment="1">
      <alignment horizontal="left" vertical="center"/>
    </xf>
    <xf numFmtId="15" fontId="0" fillId="0" borderId="0" xfId="0" applyNumberFormat="1"/>
    <xf numFmtId="0" fontId="0" fillId="0" borderId="0" xfId="0" applyAlignment="1">
      <alignment vertical="center"/>
    </xf>
    <xf numFmtId="1" fontId="0" fillId="0" borderId="11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15" fontId="0" fillId="0" borderId="22" xfId="0" applyNumberFormat="1" applyBorder="1" applyAlignment="1">
      <alignment horizontal="center" vertical="center"/>
    </xf>
    <xf numFmtId="0" fontId="0" fillId="0" borderId="14" xfId="0" applyBorder="1" applyAlignment="1">
      <alignment vertical="center"/>
    </xf>
    <xf numFmtId="15" fontId="0" fillId="0" borderId="14" xfId="0" applyNumberFormat="1" applyBorder="1" applyAlignment="1">
      <alignment horizontal="center" vertical="center"/>
    </xf>
    <xf numFmtId="15" fontId="0" fillId="0" borderId="14" xfId="0" applyNumberFormat="1" applyBorder="1" applyAlignment="1">
      <alignment vertical="center"/>
    </xf>
    <xf numFmtId="4" fontId="0" fillId="0" borderId="14" xfId="0" applyNumberForma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15" fontId="0" fillId="0" borderId="19" xfId="0" applyNumberFormat="1" applyBorder="1" applyAlignment="1">
      <alignment vertical="center"/>
    </xf>
    <xf numFmtId="4" fontId="0" fillId="0" borderId="19" xfId="0" applyNumberFormat="1" applyBorder="1" applyAlignment="1">
      <alignment vertical="center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0" fillId="0" borderId="8" xfId="0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0" fillId="0" borderId="11" xfId="0" applyBorder="1" applyAlignment="1">
      <alignment vertical="center"/>
    </xf>
    <xf numFmtId="15" fontId="0" fillId="0" borderId="11" xfId="0" applyNumberFormat="1" applyBorder="1" applyAlignment="1">
      <alignment vertical="center"/>
    </xf>
    <xf numFmtId="4" fontId="0" fillId="0" borderId="11" xfId="0" applyNumberForma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15" fontId="0" fillId="0" borderId="1" xfId="0" applyNumberFormat="1" applyBorder="1"/>
    <xf numFmtId="0" fontId="0" fillId="0" borderId="1" xfId="0" applyBorder="1"/>
    <xf numFmtId="17" fontId="6" fillId="2" borderId="25" xfId="0" applyNumberFormat="1" applyFont="1" applyFill="1" applyBorder="1" applyAlignment="1">
      <alignment horizontal="center" vertical="center" wrapText="1"/>
    </xf>
    <xf numFmtId="17" fontId="7" fillId="2" borderId="25" xfId="0" applyNumberFormat="1" applyFont="1" applyFill="1" applyBorder="1" applyAlignment="1">
      <alignment horizontal="center" vertical="center" wrapText="1"/>
    </xf>
    <xf numFmtId="17" fontId="7" fillId="2" borderId="2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15" fontId="0" fillId="0" borderId="22" xfId="0" applyNumberFormat="1" applyBorder="1" applyAlignment="1">
      <alignment horizontal="center" vertical="center" wrapText="1"/>
    </xf>
    <xf numFmtId="1" fontId="0" fillId="0" borderId="0" xfId="0" applyNumberFormat="1"/>
    <xf numFmtId="15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6" fillId="3" borderId="24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4" fontId="0" fillId="0" borderId="0" xfId="0" applyNumberFormat="1"/>
    <xf numFmtId="1" fontId="0" fillId="0" borderId="0" xfId="0" applyNumberFormat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3" fontId="12" fillId="0" borderId="19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5" fontId="5" fillId="0" borderId="0" xfId="0" applyNumberFormat="1" applyFont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17" fontId="6" fillId="2" borderId="26" xfId="0" applyNumberFormat="1" applyFont="1" applyFill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17" fontId="0" fillId="0" borderId="22" xfId="0" applyNumberFormat="1" applyBorder="1" applyAlignment="1">
      <alignment horizontal="center" vertical="center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15" fontId="2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13" fillId="0" borderId="22" xfId="0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2" fillId="0" borderId="29" xfId="0" applyFont="1" applyBorder="1"/>
    <xf numFmtId="0" fontId="0" fillId="0" borderId="0" xfId="0" applyAlignment="1">
      <alignment horizontal="center"/>
    </xf>
    <xf numFmtId="0" fontId="18" fillId="0" borderId="14" xfId="0" applyFont="1" applyBorder="1" applyAlignment="1">
      <alignment horizontal="center" vertical="center"/>
    </xf>
    <xf numFmtId="15" fontId="19" fillId="0" borderId="0" xfId="0" applyNumberFormat="1" applyFont="1" applyAlignment="1">
      <alignment horizontal="center" vertical="center"/>
    </xf>
    <xf numFmtId="15" fontId="12" fillId="0" borderId="14" xfId="0" applyNumberFormat="1" applyFont="1" applyBorder="1" applyAlignment="1">
      <alignment horizontal="center" vertical="center"/>
    </xf>
    <xf numFmtId="15" fontId="1" fillId="0" borderId="1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5" fontId="2" fillId="0" borderId="1" xfId="0" applyNumberFormat="1" applyFont="1" applyBorder="1" applyAlignment="1">
      <alignment vertical="center"/>
    </xf>
    <xf numFmtId="15" fontId="2" fillId="0" borderId="1" xfId="0" applyNumberFormat="1" applyFont="1" applyBorder="1" applyAlignment="1">
      <alignment horizontal="left" vertical="center"/>
    </xf>
    <xf numFmtId="15" fontId="0" fillId="0" borderId="0" xfId="0" applyNumberFormat="1" applyAlignment="1">
      <alignment horizontal="left"/>
    </xf>
    <xf numFmtId="0" fontId="0" fillId="0" borderId="34" xfId="0" applyBorder="1" applyAlignment="1">
      <alignment vertical="center"/>
    </xf>
    <xf numFmtId="17" fontId="7" fillId="2" borderId="38" xfId="0" applyNumberFormat="1" applyFont="1" applyFill="1" applyBorder="1" applyAlignment="1">
      <alignment horizontal="center" vertical="center" wrapText="1"/>
    </xf>
    <xf numFmtId="0" fontId="0" fillId="0" borderId="35" xfId="0" applyBorder="1" applyAlignment="1">
      <alignment vertical="center"/>
    </xf>
    <xf numFmtId="15" fontId="0" fillId="0" borderId="19" xfId="0" quotePrefix="1" applyNumberFormat="1" applyBorder="1" applyAlignment="1">
      <alignment horizontal="center" vertical="center" wrapText="1"/>
    </xf>
    <xf numFmtId="15" fontId="0" fillId="0" borderId="19" xfId="0" applyNumberFormat="1" applyBorder="1" applyAlignment="1">
      <alignment horizontal="center" vertical="center" wrapText="1"/>
    </xf>
    <xf numFmtId="1" fontId="24" fillId="4" borderId="1" xfId="0" applyNumberFormat="1" applyFont="1" applyFill="1" applyBorder="1" applyAlignment="1">
      <alignment horizontal="center" vertical="center" wrapText="1" readingOrder="1"/>
    </xf>
    <xf numFmtId="0" fontId="17" fillId="4" borderId="9" xfId="0" applyFont="1" applyFill="1" applyBorder="1" applyAlignment="1">
      <alignment vertical="center" wrapText="1" readingOrder="1"/>
    </xf>
    <xf numFmtId="0" fontId="2" fillId="0" borderId="4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0" fillId="5" borderId="0" xfId="0" applyFill="1"/>
    <xf numFmtId="17" fontId="0" fillId="0" borderId="28" xfId="0" applyNumberFormat="1" applyBorder="1" applyAlignment="1">
      <alignment horizontal="center" vertical="center"/>
    </xf>
    <xf numFmtId="15" fontId="0" fillId="0" borderId="28" xfId="0" applyNumberForma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vertical="center"/>
    </xf>
    <xf numFmtId="0" fontId="0" fillId="6" borderId="14" xfId="0" applyFill="1" applyBorder="1" applyAlignment="1">
      <alignment horizontal="center" vertical="center"/>
    </xf>
    <xf numFmtId="0" fontId="0" fillId="6" borderId="22" xfId="0" applyFill="1" applyBorder="1" applyAlignment="1">
      <alignment vertical="center"/>
    </xf>
    <xf numFmtId="1" fontId="0" fillId="6" borderId="14" xfId="0" applyNumberFormat="1" applyFill="1" applyBorder="1" applyAlignment="1">
      <alignment horizontal="center" vertical="center"/>
    </xf>
    <xf numFmtId="15" fontId="0" fillId="6" borderId="14" xfId="0" applyNumberFormat="1" applyFill="1" applyBorder="1" applyAlignment="1">
      <alignment horizontal="center" vertical="center"/>
    </xf>
    <xf numFmtId="15" fontId="0" fillId="6" borderId="28" xfId="0" applyNumberFormat="1" applyFill="1" applyBorder="1" applyAlignment="1">
      <alignment horizontal="center" vertical="center"/>
    </xf>
    <xf numFmtId="17" fontId="0" fillId="6" borderId="28" xfId="0" applyNumberFormat="1" applyFill="1" applyBorder="1" applyAlignment="1">
      <alignment horizontal="center" vertical="center"/>
    </xf>
    <xf numFmtId="15" fontId="0" fillId="6" borderId="14" xfId="0" applyNumberFormat="1" applyFill="1" applyBorder="1" applyAlignment="1">
      <alignment vertical="center"/>
    </xf>
    <xf numFmtId="0" fontId="0" fillId="6" borderId="22" xfId="0" applyFill="1" applyBorder="1" applyAlignment="1">
      <alignment horizontal="center" vertical="center"/>
    </xf>
    <xf numFmtId="4" fontId="0" fillId="6" borderId="14" xfId="0" applyNumberFormat="1" applyFill="1" applyBorder="1" applyAlignment="1">
      <alignment vertical="center"/>
    </xf>
    <xf numFmtId="0" fontId="1" fillId="6" borderId="14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17" fontId="0" fillId="6" borderId="14" xfId="0" applyNumberForma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vertical="center"/>
    </xf>
    <xf numFmtId="0" fontId="0" fillId="7" borderId="14" xfId="0" applyFill="1" applyBorder="1" applyAlignment="1">
      <alignment horizontal="center" vertical="center"/>
    </xf>
    <xf numFmtId="1" fontId="0" fillId="7" borderId="14" xfId="0" applyNumberFormat="1" applyFill="1" applyBorder="1" applyAlignment="1">
      <alignment horizontal="center" vertical="center"/>
    </xf>
    <xf numFmtId="1" fontId="25" fillId="7" borderId="14" xfId="0" applyNumberFormat="1" applyFont="1" applyFill="1" applyBorder="1" applyAlignment="1">
      <alignment horizontal="center" vertical="center"/>
    </xf>
    <xf numFmtId="15" fontId="0" fillId="7" borderId="14" xfId="0" applyNumberFormat="1" applyFill="1" applyBorder="1" applyAlignment="1">
      <alignment horizontal="center" vertical="center"/>
    </xf>
    <xf numFmtId="15" fontId="12" fillId="7" borderId="14" xfId="0" applyNumberFormat="1" applyFont="1" applyFill="1" applyBorder="1" applyAlignment="1">
      <alignment horizontal="center" vertical="center"/>
    </xf>
    <xf numFmtId="15" fontId="0" fillId="7" borderId="28" xfId="0" applyNumberFormat="1" applyFill="1" applyBorder="1" applyAlignment="1">
      <alignment horizontal="center" vertical="center"/>
    </xf>
    <xf numFmtId="17" fontId="0" fillId="7" borderId="28" xfId="0" applyNumberFormat="1" applyFill="1" applyBorder="1" applyAlignment="1">
      <alignment horizontal="center" vertical="center"/>
    </xf>
    <xf numFmtId="15" fontId="0" fillId="7" borderId="14" xfId="0" applyNumberFormat="1" applyFill="1" applyBorder="1" applyAlignment="1">
      <alignment vertical="center"/>
    </xf>
    <xf numFmtId="0" fontId="0" fillId="7" borderId="22" xfId="0" applyFill="1" applyBorder="1" applyAlignment="1">
      <alignment horizontal="center" vertical="center"/>
    </xf>
    <xf numFmtId="0" fontId="0" fillId="7" borderId="22" xfId="0" applyFill="1" applyBorder="1" applyAlignment="1">
      <alignment vertical="center"/>
    </xf>
    <xf numFmtId="4" fontId="0" fillId="7" borderId="14" xfId="0" applyNumberFormat="1" applyFill="1" applyBorder="1" applyAlignment="1">
      <alignment vertical="center"/>
    </xf>
    <xf numFmtId="0" fontId="0" fillId="7" borderId="15" xfId="0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vertical="center"/>
    </xf>
    <xf numFmtId="1" fontId="1" fillId="7" borderId="14" xfId="0" applyNumberFormat="1" applyFont="1" applyFill="1" applyBorder="1" applyAlignment="1">
      <alignment horizontal="center" vertical="center"/>
    </xf>
    <xf numFmtId="15" fontId="1" fillId="7" borderId="14" xfId="0" applyNumberFormat="1" applyFont="1" applyFill="1" applyBorder="1" applyAlignment="1">
      <alignment horizontal="center" vertical="center"/>
    </xf>
    <xf numFmtId="15" fontId="1" fillId="7" borderId="28" xfId="0" applyNumberFormat="1" applyFont="1" applyFill="1" applyBorder="1" applyAlignment="1">
      <alignment horizontal="center" vertical="center"/>
    </xf>
    <xf numFmtId="17" fontId="1" fillId="7" borderId="28" xfId="0" applyNumberFormat="1" applyFont="1" applyFill="1" applyBorder="1" applyAlignment="1">
      <alignment horizontal="center" vertical="center"/>
    </xf>
    <xf numFmtId="15" fontId="1" fillId="7" borderId="14" xfId="0" applyNumberFormat="1" applyFont="1" applyFill="1" applyBorder="1" applyAlignment="1">
      <alignment vertical="center"/>
    </xf>
    <xf numFmtId="0" fontId="1" fillId="7" borderId="22" xfId="0" applyFont="1" applyFill="1" applyBorder="1" applyAlignment="1">
      <alignment horizontal="center" vertical="center"/>
    </xf>
    <xf numFmtId="4" fontId="1" fillId="7" borderId="14" xfId="0" applyNumberFormat="1" applyFont="1" applyFill="1" applyBorder="1" applyAlignment="1">
      <alignment vertical="center"/>
    </xf>
    <xf numFmtId="0" fontId="1" fillId="7" borderId="15" xfId="0" applyFont="1" applyFill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/>
    </xf>
    <xf numFmtId="15" fontId="0" fillId="0" borderId="3" xfId="0" applyNumberFormat="1" applyBorder="1"/>
    <xf numFmtId="0" fontId="0" fillId="0" borderId="3" xfId="0" applyBorder="1"/>
    <xf numFmtId="0" fontId="2" fillId="0" borderId="2" xfId="0" applyFont="1" applyBorder="1" applyAlignment="1">
      <alignment horizontal="center" vertical="center"/>
    </xf>
    <xf numFmtId="17" fontId="6" fillId="2" borderId="38" xfId="0" applyNumberFormat="1" applyFont="1" applyFill="1" applyBorder="1" applyAlignment="1">
      <alignment horizontal="center" vertical="center" wrapText="1"/>
    </xf>
    <xf numFmtId="17" fontId="7" fillId="2" borderId="40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3" fontId="0" fillId="0" borderId="0" xfId="0" applyNumberFormat="1"/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5" fontId="0" fillId="0" borderId="0" xfId="0" applyNumberFormat="1"/>
    <xf numFmtId="0" fontId="1" fillId="5" borderId="14" xfId="0" applyFont="1" applyFill="1" applyBorder="1" applyAlignment="1">
      <alignment vertical="center"/>
    </xf>
    <xf numFmtId="0" fontId="1" fillId="5" borderId="22" xfId="0" applyFont="1" applyFill="1" applyBorder="1" applyAlignment="1">
      <alignment vertical="center"/>
    </xf>
    <xf numFmtId="167" fontId="20" fillId="0" borderId="1" xfId="0" applyNumberFormat="1" applyFont="1" applyBorder="1" applyAlignment="1">
      <alignment horizontal="center" vertical="center"/>
    </xf>
    <xf numFmtId="0" fontId="16" fillId="4" borderId="1" xfId="0" applyFont="1" applyFill="1" applyBorder="1" applyAlignment="1">
      <alignment vertical="center" wrapText="1" readingOrder="1"/>
    </xf>
    <xf numFmtId="0" fontId="16" fillId="0" borderId="0" xfId="0" applyFont="1" applyAlignment="1">
      <alignment horizontal="center" vertical="center" wrapText="1" readingOrder="1"/>
    </xf>
    <xf numFmtId="0" fontId="16" fillId="0" borderId="0" xfId="0" applyFont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23" fillId="0" borderId="0" xfId="0" applyFont="1" applyAlignment="1">
      <alignment horizontal="center" vertical="center" wrapText="1" readingOrder="1"/>
    </xf>
    <xf numFmtId="164" fontId="23" fillId="0" borderId="0" xfId="0" applyNumberFormat="1" applyFont="1" applyAlignment="1">
      <alignment horizontal="left" vertical="center" wrapText="1" readingOrder="1"/>
    </xf>
    <xf numFmtId="164" fontId="21" fillId="0" borderId="0" xfId="0" applyNumberFormat="1" applyFont="1" applyAlignment="1">
      <alignment horizontal="left" vertical="center" wrapText="1" readingOrder="1"/>
    </xf>
    <xf numFmtId="166" fontId="24" fillId="0" borderId="0" xfId="0" applyNumberFormat="1" applyFont="1" applyAlignment="1">
      <alignment horizontal="center" vertical="center" wrapText="1" readingOrder="1"/>
    </xf>
    <xf numFmtId="0" fontId="16" fillId="0" borderId="33" xfId="0" applyFont="1" applyBorder="1" applyAlignment="1">
      <alignment vertical="center" wrapText="1" readingOrder="1"/>
    </xf>
    <xf numFmtId="0" fontId="16" fillId="0" borderId="34" xfId="0" applyFont="1" applyBorder="1" applyAlignment="1">
      <alignment vertical="center" wrapText="1" readingOrder="1"/>
    </xf>
    <xf numFmtId="0" fontId="16" fillId="0" borderId="35" xfId="0" applyFont="1" applyBorder="1" applyAlignment="1">
      <alignment vertical="center" wrapText="1" readingOrder="1"/>
    </xf>
    <xf numFmtId="0" fontId="24" fillId="4" borderId="4" xfId="0" applyFont="1" applyFill="1" applyBorder="1" applyAlignment="1">
      <alignment vertical="center" readingOrder="1"/>
    </xf>
    <xf numFmtId="0" fontId="17" fillId="4" borderId="9" xfId="0" applyFont="1" applyFill="1" applyBorder="1" applyAlignment="1">
      <alignment horizontal="left" wrapText="1" readingOrder="1"/>
    </xf>
    <xf numFmtId="0" fontId="17" fillId="4" borderId="5" xfId="0" applyFont="1" applyFill="1" applyBorder="1" applyAlignment="1">
      <alignment horizontal="center" wrapText="1" readingOrder="1"/>
    </xf>
    <xf numFmtId="1" fontId="24" fillId="0" borderId="33" xfId="0" applyNumberFormat="1" applyFont="1" applyBorder="1" applyAlignment="1">
      <alignment horizontal="center" vertical="center" wrapText="1" readingOrder="1"/>
    </xf>
    <xf numFmtId="1" fontId="24" fillId="0" borderId="34" xfId="0" applyNumberFormat="1" applyFont="1" applyBorder="1" applyAlignment="1">
      <alignment horizontal="center" vertical="center" wrapText="1" readingOrder="1"/>
    </xf>
    <xf numFmtId="1" fontId="24" fillId="0" borderId="35" xfId="0" applyNumberFormat="1" applyFont="1" applyBorder="1" applyAlignment="1">
      <alignment horizontal="center" vertical="center" wrapText="1" readingOrder="1"/>
    </xf>
    <xf numFmtId="1" fontId="23" fillId="0" borderId="33" xfId="0" applyNumberFormat="1" applyFont="1" applyBorder="1" applyAlignment="1">
      <alignment horizontal="center" vertical="center" wrapText="1" readingOrder="1"/>
    </xf>
    <xf numFmtId="1" fontId="21" fillId="0" borderId="33" xfId="0" applyNumberFormat="1" applyFont="1" applyBorder="1" applyAlignment="1">
      <alignment horizontal="center" vertical="center" wrapText="1" readingOrder="1"/>
    </xf>
    <xf numFmtId="1" fontId="23" fillId="0" borderId="34" xfId="0" applyNumberFormat="1" applyFont="1" applyBorder="1" applyAlignment="1">
      <alignment horizontal="center" vertical="center" wrapText="1" readingOrder="1"/>
    </xf>
    <xf numFmtId="1" fontId="21" fillId="0" borderId="34" xfId="0" applyNumberFormat="1" applyFont="1" applyBorder="1" applyAlignment="1">
      <alignment horizontal="center" vertical="center" wrapText="1" readingOrder="1"/>
    </xf>
    <xf numFmtId="1" fontId="23" fillId="0" borderId="35" xfId="0" applyNumberFormat="1" applyFont="1" applyBorder="1" applyAlignment="1">
      <alignment horizontal="center" vertical="center" wrapText="1" readingOrder="1"/>
    </xf>
    <xf numFmtId="1" fontId="21" fillId="0" borderId="35" xfId="0" applyNumberFormat="1" applyFont="1" applyBorder="1" applyAlignment="1">
      <alignment horizontal="center" vertical="center" wrapText="1" readingOrder="1"/>
    </xf>
    <xf numFmtId="0" fontId="23" fillId="0" borderId="33" xfId="0" applyFont="1" applyBorder="1" applyAlignment="1">
      <alignment vertical="center" wrapText="1" readingOrder="1"/>
    </xf>
    <xf numFmtId="0" fontId="23" fillId="0" borderId="34" xfId="0" applyFont="1" applyBorder="1" applyAlignment="1">
      <alignment vertical="center" wrapText="1" readingOrder="1"/>
    </xf>
    <xf numFmtId="0" fontId="23" fillId="0" borderId="35" xfId="0" applyFont="1" applyBorder="1" applyAlignment="1">
      <alignment vertical="center" wrapText="1" readingOrder="1"/>
    </xf>
    <xf numFmtId="0" fontId="26" fillId="0" borderId="33" xfId="0" applyFont="1" applyBorder="1" applyAlignment="1">
      <alignment horizontal="left" vertical="center" wrapText="1" readingOrder="1"/>
    </xf>
    <xf numFmtId="0" fontId="26" fillId="0" borderId="34" xfId="0" applyFont="1" applyBorder="1" applyAlignment="1">
      <alignment horizontal="left" vertical="center" wrapText="1" readingOrder="1"/>
    </xf>
    <xf numFmtId="0" fontId="26" fillId="0" borderId="35" xfId="0" applyFont="1" applyBorder="1" applyAlignment="1">
      <alignment horizontal="left" vertical="center" wrapText="1" readingOrder="1"/>
    </xf>
    <xf numFmtId="0" fontId="6" fillId="8" borderId="1" xfId="0" applyFont="1" applyFill="1" applyBorder="1" applyAlignment="1">
      <alignment horizontal="center" vertical="center" wrapText="1" readingOrder="1"/>
    </xf>
    <xf numFmtId="17" fontId="6" fillId="8" borderId="1" xfId="0" applyNumberFormat="1" applyFont="1" applyFill="1" applyBorder="1" applyAlignment="1">
      <alignment horizontal="center" vertical="center" wrapText="1" readingOrder="1"/>
    </xf>
    <xf numFmtId="0" fontId="28" fillId="4" borderId="9" xfId="0" applyFont="1" applyFill="1" applyBorder="1" applyAlignment="1">
      <alignment vertical="center" wrapText="1" readingOrder="1"/>
    </xf>
    <xf numFmtId="0" fontId="27" fillId="0" borderId="0" xfId="0" applyFont="1"/>
    <xf numFmtId="0" fontId="26" fillId="4" borderId="1" xfId="0" applyFont="1" applyFill="1" applyBorder="1" applyAlignment="1">
      <alignment horizontal="left" vertical="center" wrapText="1" readingOrder="1"/>
    </xf>
    <xf numFmtId="0" fontId="26" fillId="0" borderId="33" xfId="0" applyFont="1" applyBorder="1" applyAlignment="1">
      <alignment vertical="center" wrapText="1" readingOrder="1"/>
    </xf>
    <xf numFmtId="0" fontId="26" fillId="0" borderId="34" xfId="0" applyFont="1" applyBorder="1" applyAlignment="1">
      <alignment vertical="center" wrapText="1" readingOrder="1"/>
    </xf>
    <xf numFmtId="0" fontId="26" fillId="0" borderId="35" xfId="0" applyFont="1" applyBorder="1" applyAlignment="1">
      <alignment vertical="center" wrapText="1" readingOrder="1"/>
    </xf>
    <xf numFmtId="0" fontId="26" fillId="0" borderId="0" xfId="0" applyFont="1" applyAlignment="1">
      <alignment horizontal="center" vertical="center" wrapText="1" readingOrder="1"/>
    </xf>
    <xf numFmtId="0" fontId="17" fillId="4" borderId="1" xfId="0" applyFont="1" applyFill="1" applyBorder="1" applyAlignment="1">
      <alignment horizontal="center" wrapText="1" readingOrder="1"/>
    </xf>
    <xf numFmtId="3" fontId="19" fillId="0" borderId="0" xfId="0" applyNumberFormat="1" applyFont="1" applyAlignment="1">
      <alignment horizontal="center" vertical="center"/>
    </xf>
    <xf numFmtId="0" fontId="22" fillId="8" borderId="1" xfId="0" applyFont="1" applyFill="1" applyBorder="1" applyAlignment="1">
      <alignment horizontal="center" vertical="center" wrapText="1" readingOrder="1"/>
    </xf>
    <xf numFmtId="0" fontId="14" fillId="0" borderId="29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28" fillId="4" borderId="1" xfId="0" applyFont="1" applyFill="1" applyBorder="1" applyAlignment="1">
      <alignment horizontal="left" vertical="center" wrapText="1" readingOrder="1"/>
    </xf>
    <xf numFmtId="0" fontId="0" fillId="0" borderId="3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7" fontId="23" fillId="0" borderId="33" xfId="0" applyNumberFormat="1" applyFont="1" applyBorder="1" applyAlignment="1">
      <alignment horizontal="center" vertical="center" wrapText="1" readingOrder="1"/>
    </xf>
    <xf numFmtId="167" fontId="24" fillId="0" borderId="33" xfId="0" applyNumberFormat="1" applyFont="1" applyBorder="1" applyAlignment="1">
      <alignment horizontal="center" vertical="center" wrapText="1" readingOrder="1"/>
    </xf>
    <xf numFmtId="167" fontId="23" fillId="0" borderId="34" xfId="0" applyNumberFormat="1" applyFont="1" applyBorder="1" applyAlignment="1">
      <alignment horizontal="center" vertical="center" wrapText="1" readingOrder="1"/>
    </xf>
    <xf numFmtId="167" fontId="24" fillId="0" borderId="34" xfId="0" applyNumberFormat="1" applyFont="1" applyBorder="1" applyAlignment="1">
      <alignment horizontal="center" vertical="center" wrapText="1" readingOrder="1"/>
    </xf>
    <xf numFmtId="167" fontId="23" fillId="0" borderId="35" xfId="0" applyNumberFormat="1" applyFont="1" applyBorder="1" applyAlignment="1">
      <alignment horizontal="center" vertical="center" wrapText="1" readingOrder="1"/>
    </xf>
    <xf numFmtId="167" fontId="24" fillId="0" borderId="35" xfId="0" applyNumberFormat="1" applyFont="1" applyBorder="1" applyAlignment="1">
      <alignment horizontal="center" vertical="center" wrapText="1" readingOrder="1"/>
    </xf>
    <xf numFmtId="1" fontId="30" fillId="0" borderId="34" xfId="0" applyNumberFormat="1" applyFont="1" applyBorder="1" applyAlignment="1">
      <alignment horizontal="center" vertical="center" wrapText="1" readingOrder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17" fontId="7" fillId="2" borderId="46" xfId="0" applyNumberFormat="1" applyFont="1" applyFill="1" applyBorder="1" applyAlignment="1">
      <alignment horizontal="center" vertical="center" wrapText="1"/>
    </xf>
    <xf numFmtId="17" fontId="7" fillId="2" borderId="47" xfId="0" applyNumberFormat="1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0" fillId="0" borderId="48" xfId="0" applyFont="1" applyBorder="1" applyAlignment="1">
      <alignment vertical="center"/>
    </xf>
    <xf numFmtId="0" fontId="0" fillId="0" borderId="49" xfId="0" applyBorder="1" applyAlignment="1">
      <alignment horizontal="center" vertical="center"/>
    </xf>
    <xf numFmtId="0" fontId="5" fillId="0" borderId="50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9" fillId="0" borderId="49" xfId="0" applyFont="1" applyBorder="1" applyAlignment="1">
      <alignment horizontal="left" vertical="center"/>
    </xf>
    <xf numFmtId="0" fontId="11" fillId="0" borderId="52" xfId="0" applyFont="1" applyBorder="1" applyAlignment="1">
      <alignment horizontal="right" vertical="center"/>
    </xf>
    <xf numFmtId="0" fontId="7" fillId="2" borderId="43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17" fontId="7" fillId="2" borderId="34" xfId="0" applyNumberFormat="1" applyFont="1" applyFill="1" applyBorder="1" applyAlignment="1">
      <alignment horizontal="center" vertical="center" wrapText="1"/>
    </xf>
    <xf numFmtId="17" fontId="7" fillId="2" borderId="42" xfId="0" applyNumberFormat="1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5" fontId="33" fillId="0" borderId="0" xfId="0" applyNumberFormat="1" applyFont="1" applyAlignment="1">
      <alignment horizontal="center" vertical="center"/>
    </xf>
    <xf numFmtId="3" fontId="34" fillId="0" borderId="0" xfId="0" applyNumberFormat="1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5" fillId="0" borderId="0" xfId="0" applyFont="1"/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4" fillId="0" borderId="0" xfId="0" applyFont="1"/>
    <xf numFmtId="15" fontId="34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/>
    </xf>
    <xf numFmtId="15" fontId="13" fillId="0" borderId="14" xfId="0" applyNumberFormat="1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0" fontId="6" fillId="2" borderId="3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7" fontId="6" fillId="2" borderId="0" xfId="0" applyNumberFormat="1" applyFont="1" applyFill="1" applyAlignment="1">
      <alignment horizontal="center" vertical="center" wrapText="1"/>
    </xf>
    <xf numFmtId="17" fontId="6" fillId="2" borderId="32" xfId="0" applyNumberFormat="1" applyFont="1" applyFill="1" applyBorder="1" applyAlignment="1">
      <alignment horizontal="center" vertical="center" wrapText="1"/>
    </xf>
    <xf numFmtId="17" fontId="6" fillId="2" borderId="6" xfId="0" applyNumberFormat="1" applyFont="1" applyFill="1" applyBorder="1" applyAlignment="1">
      <alignment horizontal="center" vertical="center" wrapText="1"/>
    </xf>
    <xf numFmtId="17" fontId="6" fillId="2" borderId="7" xfId="0" applyNumberFormat="1" applyFont="1" applyFill="1" applyBorder="1" applyAlignment="1">
      <alignment horizontal="center" vertical="center" wrapText="1"/>
    </xf>
    <xf numFmtId="17" fontId="6" fillId="2" borderId="8" xfId="0" applyNumberFormat="1" applyFont="1" applyFill="1" applyBorder="1" applyAlignment="1">
      <alignment horizontal="center" vertical="center" wrapText="1"/>
    </xf>
    <xf numFmtId="17" fontId="6" fillId="2" borderId="53" xfId="0" applyNumberFormat="1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15" fontId="6" fillId="2" borderId="1" xfId="0" applyNumberFormat="1" applyFont="1" applyFill="1" applyBorder="1" applyAlignment="1">
      <alignment vertical="center"/>
    </xf>
    <xf numFmtId="15" fontId="6" fillId="2" borderId="1" xfId="0" applyNumberFormat="1" applyFont="1" applyFill="1" applyBorder="1" applyAlignment="1">
      <alignment horizontal="left" vertical="center"/>
    </xf>
    <xf numFmtId="9" fontId="0" fillId="0" borderId="13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9" fontId="1" fillId="0" borderId="13" xfId="0" applyNumberFormat="1" applyFont="1" applyBorder="1" applyAlignment="1">
      <alignment horizontal="center" vertical="center"/>
    </xf>
    <xf numFmtId="9" fontId="1" fillId="0" borderId="14" xfId="0" applyNumberFormat="1" applyFont="1" applyBorder="1" applyAlignment="1">
      <alignment horizontal="center" vertical="center"/>
    </xf>
    <xf numFmtId="9" fontId="1" fillId="0" borderId="15" xfId="0" applyNumberFormat="1" applyFont="1" applyBorder="1" applyAlignment="1">
      <alignment horizontal="center" vertical="center"/>
    </xf>
    <xf numFmtId="9" fontId="1" fillId="0" borderId="54" xfId="0" applyNumberFormat="1" applyFont="1" applyBorder="1" applyAlignment="1">
      <alignment horizontal="center" vertical="center"/>
    </xf>
    <xf numFmtId="9" fontId="1" fillId="0" borderId="55" xfId="0" applyNumberFormat="1" applyFont="1" applyBorder="1" applyAlignment="1">
      <alignment horizontal="center" vertical="center"/>
    </xf>
    <xf numFmtId="9" fontId="1" fillId="0" borderId="56" xfId="0" applyNumberFormat="1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14" fillId="0" borderId="29" xfId="0" applyFont="1" applyBorder="1" applyAlignment="1">
      <alignment horizontal="left" vertical="center"/>
    </xf>
    <xf numFmtId="0" fontId="0" fillId="0" borderId="57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0" fillId="0" borderId="62" xfId="0" applyBorder="1"/>
    <xf numFmtId="0" fontId="0" fillId="0" borderId="63" xfId="0" applyBorder="1"/>
    <xf numFmtId="0" fontId="0" fillId="0" borderId="64" xfId="0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0" xfId="0" applyFont="1" applyBorder="1" applyAlignment="1">
      <alignment vertical="center"/>
    </xf>
    <xf numFmtId="0" fontId="2" fillId="0" borderId="70" xfId="0" applyFont="1" applyBorder="1" applyAlignment="1">
      <alignment horizontal="center" vertical="center"/>
    </xf>
    <xf numFmtId="0" fontId="20" fillId="0" borderId="70" xfId="0" applyFont="1" applyBorder="1" applyAlignment="1">
      <alignment horizontal="center" vertical="center"/>
    </xf>
    <xf numFmtId="17" fontId="6" fillId="2" borderId="2" xfId="0" applyNumberFormat="1" applyFont="1" applyFill="1" applyBorder="1" applyAlignment="1">
      <alignment horizontal="center" vertical="center" wrapText="1"/>
    </xf>
    <xf numFmtId="9" fontId="1" fillId="0" borderId="34" xfId="0" applyNumberFormat="1" applyFont="1" applyBorder="1" applyAlignment="1">
      <alignment horizontal="center" vertical="center"/>
    </xf>
    <xf numFmtId="9" fontId="1" fillId="0" borderId="35" xfId="0" applyNumberFormat="1" applyFont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4" xfId="0" applyFill="1" applyBorder="1" applyAlignment="1">
      <alignment vertical="center"/>
    </xf>
    <xf numFmtId="0" fontId="0" fillId="9" borderId="14" xfId="0" applyFill="1" applyBorder="1" applyAlignment="1">
      <alignment horizontal="center" vertical="center"/>
    </xf>
    <xf numFmtId="0" fontId="0" fillId="9" borderId="22" xfId="0" applyFill="1" applyBorder="1" applyAlignment="1">
      <alignment vertical="center"/>
    </xf>
    <xf numFmtId="2" fontId="0" fillId="9" borderId="14" xfId="0" applyNumberFormat="1" applyFill="1" applyBorder="1" applyAlignment="1">
      <alignment horizontal="center" vertical="center"/>
    </xf>
    <xf numFmtId="1" fontId="0" fillId="9" borderId="14" xfId="0" applyNumberFormat="1" applyFill="1" applyBorder="1" applyAlignment="1">
      <alignment horizontal="center" vertical="center"/>
    </xf>
    <xf numFmtId="15" fontId="13" fillId="9" borderId="14" xfId="0" applyNumberFormat="1" applyFont="1" applyFill="1" applyBorder="1" applyAlignment="1">
      <alignment horizontal="center" vertical="center"/>
    </xf>
    <xf numFmtId="15" fontId="0" fillId="9" borderId="14" xfId="0" applyNumberFormat="1" applyFill="1" applyBorder="1" applyAlignment="1">
      <alignment horizontal="left" vertical="center"/>
    </xf>
    <xf numFmtId="0" fontId="0" fillId="9" borderId="15" xfId="0" applyFill="1" applyBorder="1" applyAlignment="1">
      <alignment horizontal="center" vertical="center"/>
    </xf>
    <xf numFmtId="0" fontId="0" fillId="9" borderId="0" xfId="0" applyFill="1" applyAlignment="1">
      <alignment vertical="center"/>
    </xf>
    <xf numFmtId="0" fontId="0" fillId="9" borderId="34" xfId="0" applyFill="1" applyBorder="1" applyAlignment="1">
      <alignment horizontal="center" vertical="center"/>
    </xf>
    <xf numFmtId="15" fontId="0" fillId="9" borderId="19" xfId="0" quotePrefix="1" applyNumberFormat="1" applyFill="1" applyBorder="1" applyAlignment="1">
      <alignment horizontal="center" vertical="center" wrapText="1"/>
    </xf>
    <xf numFmtId="9" fontId="0" fillId="9" borderId="13" xfId="0" applyNumberFormat="1" applyFill="1" applyBorder="1" applyAlignment="1">
      <alignment horizontal="center" vertical="center"/>
    </xf>
    <xf numFmtId="9" fontId="0" fillId="9" borderId="14" xfId="0" applyNumberFormat="1" applyFill="1" applyBorder="1" applyAlignment="1">
      <alignment horizontal="center" vertical="center"/>
    </xf>
    <xf numFmtId="15" fontId="0" fillId="9" borderId="14" xfId="0" applyNumberFormat="1" applyFill="1" applyBorder="1" applyAlignment="1">
      <alignment horizontal="center" vertical="center"/>
    </xf>
    <xf numFmtId="9" fontId="0" fillId="9" borderId="15" xfId="0" applyNumberForma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0" fillId="9" borderId="14" xfId="0" applyFill="1" applyBorder="1" applyAlignment="1">
      <alignment vertical="center" wrapText="1"/>
    </xf>
    <xf numFmtId="1" fontId="0" fillId="9" borderId="13" xfId="0" applyNumberFormat="1" applyFill="1" applyBorder="1" applyAlignment="1">
      <alignment horizontal="center" vertical="center"/>
    </xf>
    <xf numFmtId="1" fontId="0" fillId="9" borderId="15" xfId="0" applyNumberFormat="1" applyFill="1" applyBorder="1" applyAlignment="1">
      <alignment horizontal="center" vertical="center"/>
    </xf>
    <xf numFmtId="0" fontId="1" fillId="9" borderId="14" xfId="0" applyFont="1" applyFill="1" applyBorder="1" applyAlignment="1">
      <alignment vertical="center"/>
    </xf>
    <xf numFmtId="0" fontId="1" fillId="9" borderId="22" xfId="0" applyFont="1" applyFill="1" applyBorder="1" applyAlignment="1">
      <alignment vertical="center"/>
    </xf>
    <xf numFmtId="0" fontId="1" fillId="9" borderId="15" xfId="0" applyFont="1" applyFill="1" applyBorder="1" applyAlignment="1">
      <alignment horizontal="center" vertical="center"/>
    </xf>
    <xf numFmtId="0" fontId="12" fillId="9" borderId="0" xfId="0" applyFont="1" applyFill="1" applyAlignment="1">
      <alignment vertical="center"/>
    </xf>
    <xf numFmtId="2" fontId="1" fillId="9" borderId="14" xfId="0" applyNumberFormat="1" applyFont="1" applyFill="1" applyBorder="1" applyAlignment="1">
      <alignment horizontal="center" vertical="center"/>
    </xf>
    <xf numFmtId="15" fontId="1" fillId="9" borderId="14" xfId="0" applyNumberFormat="1" applyFont="1" applyFill="1" applyBorder="1" applyAlignment="1">
      <alignment horizontal="center" vertical="center"/>
    </xf>
    <xf numFmtId="15" fontId="12" fillId="9" borderId="14" xfId="0" applyNumberFormat="1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9" fontId="1" fillId="9" borderId="13" xfId="0" applyNumberFormat="1" applyFont="1" applyFill="1" applyBorder="1" applyAlignment="1">
      <alignment horizontal="center" vertical="center"/>
    </xf>
    <xf numFmtId="9" fontId="1" fillId="9" borderId="14" xfId="0" applyNumberFormat="1" applyFont="1" applyFill="1" applyBorder="1" applyAlignment="1">
      <alignment horizontal="center" vertical="center"/>
    </xf>
    <xf numFmtId="9" fontId="1" fillId="9" borderId="15" xfId="0" applyNumberFormat="1" applyFont="1" applyFill="1" applyBorder="1" applyAlignment="1">
      <alignment horizontal="center" vertical="center"/>
    </xf>
    <xf numFmtId="9" fontId="1" fillId="9" borderId="34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 readingOrder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17" fontId="6" fillId="2" borderId="72" xfId="0" applyNumberFormat="1" applyFont="1" applyFill="1" applyBorder="1" applyAlignment="1">
      <alignment horizontal="center" vertical="center" wrapText="1"/>
    </xf>
    <xf numFmtId="17" fontId="6" fillId="2" borderId="73" xfId="0" applyNumberFormat="1" applyFont="1" applyFill="1" applyBorder="1" applyAlignment="1">
      <alignment horizontal="center" vertical="center" wrapText="1"/>
    </xf>
    <xf numFmtId="17" fontId="6" fillId="2" borderId="41" xfId="0" applyNumberFormat="1" applyFont="1" applyFill="1" applyBorder="1" applyAlignment="1">
      <alignment horizontal="center" vertical="center" wrapText="1"/>
    </xf>
    <xf numFmtId="3" fontId="6" fillId="2" borderId="41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7" fillId="2" borderId="78" xfId="0" applyFont="1" applyFill="1" applyBorder="1" applyAlignment="1">
      <alignment horizontal="center" vertical="center" wrapText="1"/>
    </xf>
    <xf numFmtId="15" fontId="0" fillId="0" borderId="34" xfId="0" applyNumberFormat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0" fillId="0" borderId="79" xfId="0" applyBorder="1" applyAlignment="1">
      <alignment horizontal="center" vertical="center"/>
    </xf>
    <xf numFmtId="0" fontId="1" fillId="0" borderId="34" xfId="4" applyFont="1" applyBorder="1" applyAlignment="1">
      <alignment horizontal="center" vertical="center"/>
    </xf>
    <xf numFmtId="0" fontId="13" fillId="0" borderId="34" xfId="4" applyFont="1" applyBorder="1" applyAlignment="1">
      <alignment horizontal="center" vertical="center"/>
    </xf>
    <xf numFmtId="0" fontId="0" fillId="0" borderId="34" xfId="4" applyFont="1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79" xfId="0" applyBorder="1" applyAlignment="1">
      <alignment vertical="center"/>
    </xf>
    <xf numFmtId="15" fontId="0" fillId="0" borderId="79" xfId="0" applyNumberForma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" fillId="0" borderId="79" xfId="4" applyFont="1" applyBorder="1" applyAlignment="1">
      <alignment horizontal="center" vertical="center"/>
    </xf>
    <xf numFmtId="0" fontId="13" fillId="0" borderId="79" xfId="4" applyFont="1" applyBorder="1" applyAlignment="1">
      <alignment horizontal="center" vertical="center"/>
    </xf>
    <xf numFmtId="0" fontId="13" fillId="0" borderId="35" xfId="4" applyFont="1" applyBorder="1" applyAlignment="1">
      <alignment horizontal="center" vertical="center"/>
    </xf>
    <xf numFmtId="0" fontId="5" fillId="11" borderId="70" xfId="0" applyFont="1" applyFill="1" applyBorder="1" applyAlignment="1">
      <alignment horizontal="center" vertical="center"/>
    </xf>
    <xf numFmtId="0" fontId="41" fillId="0" borderId="70" xfId="0" applyFont="1" applyBorder="1" applyAlignment="1">
      <alignment horizontal="center" vertical="center"/>
    </xf>
    <xf numFmtId="15" fontId="5" fillId="11" borderId="70" xfId="0" applyNumberFormat="1" applyFont="1" applyFill="1" applyBorder="1" applyAlignment="1">
      <alignment horizontal="center" vertical="center"/>
    </xf>
    <xf numFmtId="1" fontId="15" fillId="0" borderId="70" xfId="0" applyNumberFormat="1" applyFont="1" applyBorder="1" applyAlignment="1">
      <alignment horizontal="center" vertical="center"/>
    </xf>
    <xf numFmtId="1" fontId="5" fillId="0" borderId="70" xfId="0" applyNumberFormat="1" applyFont="1" applyBorder="1" applyAlignment="1">
      <alignment horizontal="center" vertical="center"/>
    </xf>
    <xf numFmtId="17" fontId="7" fillId="2" borderId="84" xfId="0" applyNumberFormat="1" applyFont="1" applyFill="1" applyBorder="1" applyAlignment="1">
      <alignment horizontal="center" vertical="center" wrapText="1"/>
    </xf>
    <xf numFmtId="17" fontId="7" fillId="2" borderId="63" xfId="0" applyNumberFormat="1" applyFont="1" applyFill="1" applyBorder="1" applyAlignment="1">
      <alignment horizontal="center" vertical="center" wrapText="1"/>
    </xf>
    <xf numFmtId="1" fontId="0" fillId="0" borderId="85" xfId="0" applyNumberFormat="1" applyBorder="1" applyAlignment="1">
      <alignment horizontal="center" vertical="center"/>
    </xf>
    <xf numFmtId="1" fontId="0" fillId="0" borderId="63" xfId="0" applyNumberFormat="1" applyBorder="1" applyAlignment="1">
      <alignment horizontal="center" vertical="center"/>
    </xf>
    <xf numFmtId="1" fontId="0" fillId="0" borderId="74" xfId="0" applyNumberFormat="1" applyBorder="1" applyAlignment="1">
      <alignment horizontal="center" vertical="center"/>
    </xf>
    <xf numFmtId="1" fontId="12" fillId="0" borderId="19" xfId="0" applyNumberFormat="1" applyFont="1" applyBorder="1" applyAlignment="1">
      <alignment horizontal="center" vertical="center"/>
    </xf>
    <xf numFmtId="1" fontId="0" fillId="0" borderId="86" xfId="0" applyNumberFormat="1" applyBorder="1" applyAlignment="1">
      <alignment horizontal="center" vertical="center"/>
    </xf>
    <xf numFmtId="167" fontId="0" fillId="0" borderId="0" xfId="0" applyNumberFormat="1"/>
    <xf numFmtId="0" fontId="13" fillId="0" borderId="37" xfId="4" applyFont="1" applyBorder="1" applyAlignment="1">
      <alignment horizontal="center" vertical="center"/>
    </xf>
    <xf numFmtId="0" fontId="0" fillId="0" borderId="37" xfId="4" applyFont="1" applyBorder="1" applyAlignment="1">
      <alignment horizontal="center" vertical="center"/>
    </xf>
    <xf numFmtId="15" fontId="0" fillId="0" borderId="37" xfId="0" applyNumberFormat="1" applyBorder="1" applyAlignment="1">
      <alignment horizontal="center" vertical="center"/>
    </xf>
    <xf numFmtId="15" fontId="25" fillId="0" borderId="37" xfId="0" applyNumberFormat="1" applyFont="1" applyBorder="1" applyAlignment="1">
      <alignment horizontal="center" vertical="center"/>
    </xf>
    <xf numFmtId="15" fontId="1" fillId="0" borderId="34" xfId="0" applyNumberFormat="1" applyFont="1" applyBorder="1" applyAlignment="1">
      <alignment horizontal="center" vertical="center"/>
    </xf>
    <xf numFmtId="15" fontId="42" fillId="0" borderId="34" xfId="0" applyNumberFormat="1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5" fontId="42" fillId="0" borderId="79" xfId="0" applyNumberFormat="1" applyFont="1" applyBorder="1" applyAlignment="1">
      <alignment horizontal="center" vertical="center"/>
    </xf>
    <xf numFmtId="0" fontId="5" fillId="0" borderId="33" xfId="4" applyFont="1" applyBorder="1" applyAlignment="1">
      <alignment horizontal="center" vertical="center"/>
    </xf>
    <xf numFmtId="1" fontId="15" fillId="0" borderId="33" xfId="4" applyNumberFormat="1" applyFont="1" applyBorder="1" applyAlignment="1">
      <alignment horizontal="center" vertical="center"/>
    </xf>
    <xf numFmtId="1" fontId="5" fillId="0" borderId="33" xfId="4" applyNumberFormat="1" applyFont="1" applyBorder="1" applyAlignment="1">
      <alignment horizontal="center" vertical="center"/>
    </xf>
    <xf numFmtId="0" fontId="5" fillId="11" borderId="34" xfId="4" applyFont="1" applyFill="1" applyBorder="1" applyAlignment="1">
      <alignment horizontal="center" vertical="center"/>
    </xf>
    <xf numFmtId="0" fontId="41" fillId="0" borderId="34" xfId="4" applyFont="1" applyBorder="1" applyAlignment="1">
      <alignment horizontal="center" vertical="center"/>
    </xf>
    <xf numFmtId="15" fontId="0" fillId="0" borderId="34" xfId="0" applyNumberFormat="1" applyBorder="1"/>
    <xf numFmtId="1" fontId="15" fillId="0" borderId="34" xfId="4" applyNumberFormat="1" applyFont="1" applyBorder="1" applyAlignment="1">
      <alignment horizontal="center" vertical="center"/>
    </xf>
    <xf numFmtId="1" fontId="5" fillId="0" borderId="34" xfId="4" applyNumberFormat="1" applyFont="1" applyBorder="1" applyAlignment="1">
      <alignment horizontal="center" vertical="center"/>
    </xf>
    <xf numFmtId="0" fontId="5" fillId="0" borderId="34" xfId="4" applyFont="1" applyBorder="1" applyAlignment="1">
      <alignment horizontal="center" vertical="center"/>
    </xf>
    <xf numFmtId="15" fontId="5" fillId="0" borderId="34" xfId="0" applyNumberFormat="1" applyFont="1" applyBorder="1" applyAlignment="1">
      <alignment horizontal="center" vertical="center"/>
    </xf>
    <xf numFmtId="0" fontId="5" fillId="11" borderId="92" xfId="4" applyFont="1" applyFill="1" applyBorder="1" applyAlignment="1">
      <alignment horizontal="center" vertical="center"/>
    </xf>
    <xf numFmtId="0" fontId="5" fillId="0" borderId="92" xfId="0" applyFont="1" applyBorder="1" applyAlignment="1">
      <alignment horizontal="center" vertical="center"/>
    </xf>
    <xf numFmtId="1" fontId="15" fillId="0" borderId="92" xfId="4" applyNumberFormat="1" applyFont="1" applyBorder="1" applyAlignment="1">
      <alignment horizontal="center" vertical="center"/>
    </xf>
    <xf numFmtId="1" fontId="0" fillId="0" borderId="34" xfId="0" applyNumberFormat="1" applyBorder="1" applyAlignment="1">
      <alignment horizontal="center" vertical="center"/>
    </xf>
    <xf numFmtId="17" fontId="7" fillId="2" borderId="0" xfId="0" applyNumberFormat="1" applyFont="1" applyFill="1" applyAlignment="1">
      <alignment horizontal="center" vertical="center" wrapText="1"/>
    </xf>
    <xf numFmtId="1" fontId="0" fillId="0" borderId="12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9" fontId="0" fillId="0" borderId="0" xfId="0" applyNumberFormat="1"/>
    <xf numFmtId="9" fontId="0" fillId="9" borderId="15" xfId="0" applyNumberFormat="1" applyFill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45" fillId="0" borderId="67" xfId="0" applyFont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0" fontId="2" fillId="0" borderId="6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63" xfId="0" applyFont="1" applyBorder="1" applyAlignment="1">
      <alignment horizontal="center" vertical="center"/>
    </xf>
    <xf numFmtId="0" fontId="46" fillId="0" borderId="93" xfId="0" applyFont="1" applyBorder="1" applyAlignment="1">
      <alignment vertical="center"/>
    </xf>
    <xf numFmtId="0" fontId="9" fillId="0" borderId="50" xfId="0" applyFont="1" applyBorder="1" applyAlignment="1">
      <alignment vertical="center"/>
    </xf>
    <xf numFmtId="17" fontId="6" fillId="2" borderId="78" xfId="0" applyNumberFormat="1" applyFont="1" applyFill="1" applyBorder="1" applyAlignment="1">
      <alignment horizontal="center" vertical="center" wrapText="1"/>
    </xf>
    <xf numFmtId="17" fontId="6" fillId="0" borderId="96" xfId="0" applyNumberFormat="1" applyFont="1" applyBorder="1" applyAlignment="1">
      <alignment horizontal="center" vertical="center" wrapText="1"/>
    </xf>
    <xf numFmtId="0" fontId="7" fillId="0" borderId="102" xfId="0" applyFont="1" applyBorder="1" applyAlignment="1">
      <alignment horizontal="center" vertical="center" wrapText="1"/>
    </xf>
    <xf numFmtId="17" fontId="6" fillId="0" borderId="102" xfId="0" applyNumberFormat="1" applyFont="1" applyBorder="1" applyAlignment="1">
      <alignment horizontal="center" vertical="center" wrapText="1"/>
    </xf>
    <xf numFmtId="17" fontId="6" fillId="0" borderId="0" xfId="0" applyNumberFormat="1" applyFont="1" applyAlignment="1">
      <alignment horizontal="center" vertical="center" wrapText="1"/>
    </xf>
    <xf numFmtId="17" fontId="6" fillId="2" borderId="103" xfId="0" applyNumberFormat="1" applyFont="1" applyFill="1" applyBorder="1" applyAlignment="1">
      <alignment horizontal="center" vertical="center" wrapText="1"/>
    </xf>
    <xf numFmtId="17" fontId="6" fillId="2" borderId="104" xfId="0" applyNumberFormat="1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3" fillId="0" borderId="34" xfId="4" applyBorder="1" applyAlignment="1">
      <alignment vertical="center"/>
    </xf>
    <xf numFmtId="0" fontId="1" fillId="0" borderId="32" xfId="4" applyFont="1" applyBorder="1" applyAlignment="1">
      <alignment horizontal="center" vertical="center"/>
    </xf>
    <xf numFmtId="0" fontId="18" fillId="0" borderId="34" xfId="4" applyFont="1" applyBorder="1" applyAlignment="1">
      <alignment horizontal="center" vertical="center"/>
    </xf>
    <xf numFmtId="0" fontId="3" fillId="0" borderId="34" xfId="4" applyBorder="1" applyAlignment="1">
      <alignment horizontal="center" vertical="center"/>
    </xf>
    <xf numFmtId="0" fontId="21" fillId="0" borderId="80" xfId="0" applyFont="1" applyBorder="1" applyAlignment="1">
      <alignment horizontal="left" vertical="center"/>
    </xf>
    <xf numFmtId="0" fontId="21" fillId="0" borderId="80" xfId="0" applyFont="1" applyBorder="1" applyAlignment="1">
      <alignment horizontal="center" vertical="center"/>
    </xf>
    <xf numFmtId="0" fontId="3" fillId="0" borderId="35" xfId="4" applyBorder="1" applyAlignment="1">
      <alignment horizontal="center" vertical="center"/>
    </xf>
    <xf numFmtId="0" fontId="21" fillId="0" borderId="82" xfId="0" applyFont="1" applyBorder="1" applyAlignment="1">
      <alignment horizontal="left" vertical="center"/>
    </xf>
    <xf numFmtId="0" fontId="21" fillId="0" borderId="82" xfId="0" applyFont="1" applyBorder="1" applyAlignment="1">
      <alignment horizontal="center" vertical="center"/>
    </xf>
    <xf numFmtId="1" fontId="5" fillId="0" borderId="32" xfId="0" applyNumberFormat="1" applyFont="1" applyBorder="1" applyAlignment="1">
      <alignment horizontal="center" vertical="center"/>
    </xf>
    <xf numFmtId="0" fontId="2" fillId="12" borderId="35" xfId="0" applyFont="1" applyFill="1" applyBorder="1" applyAlignment="1">
      <alignment horizontal="center" vertical="center"/>
    </xf>
    <xf numFmtId="1" fontId="2" fillId="12" borderId="35" xfId="0" applyNumberFormat="1" applyFont="1" applyFill="1" applyBorder="1" applyAlignment="1">
      <alignment horizontal="center" vertical="center"/>
    </xf>
    <xf numFmtId="0" fontId="20" fillId="12" borderId="35" xfId="0" applyFont="1" applyFill="1" applyBorder="1" applyAlignment="1">
      <alignment horizontal="center" vertical="center"/>
    </xf>
    <xf numFmtId="1" fontId="20" fillId="12" borderId="35" xfId="0" applyNumberFormat="1" applyFont="1" applyFill="1" applyBorder="1" applyAlignment="1">
      <alignment horizontal="center" vertical="center"/>
    </xf>
    <xf numFmtId="1" fontId="20" fillId="12" borderId="105" xfId="0" applyNumberFormat="1" applyFont="1" applyFill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0" fontId="21" fillId="0" borderId="83" xfId="0" applyFont="1" applyBorder="1" applyAlignment="1">
      <alignment horizontal="left" vertical="center"/>
    </xf>
    <xf numFmtId="0" fontId="21" fillId="0" borderId="83" xfId="0" applyFont="1" applyBorder="1" applyAlignment="1">
      <alignment horizontal="center" vertical="center"/>
    </xf>
    <xf numFmtId="17" fontId="7" fillId="0" borderId="63" xfId="0" applyNumberFormat="1" applyFont="1" applyBorder="1" applyAlignment="1">
      <alignment horizontal="center" vertical="center" wrapText="1"/>
    </xf>
    <xf numFmtId="1" fontId="2" fillId="0" borderId="87" xfId="0" applyNumberFormat="1" applyFont="1" applyBorder="1" applyAlignment="1">
      <alignment horizontal="center" vertical="center"/>
    </xf>
    <xf numFmtId="1" fontId="2" fillId="0" borderId="63" xfId="0" applyNumberFormat="1" applyFont="1" applyBorder="1" applyAlignment="1">
      <alignment horizontal="center" vertical="center"/>
    </xf>
    <xf numFmtId="0" fontId="3" fillId="0" borderId="37" xfId="4" applyBorder="1" applyAlignment="1">
      <alignment horizontal="center" vertical="center"/>
    </xf>
    <xf numFmtId="0" fontId="21" fillId="0" borderId="34" xfId="4" applyFont="1" applyBorder="1" applyAlignment="1">
      <alignment horizontal="center" vertical="center"/>
    </xf>
    <xf numFmtId="17" fontId="6" fillId="0" borderId="34" xfId="4" applyNumberFormat="1" applyFont="1" applyBorder="1" applyAlignment="1">
      <alignment horizontal="center" vertical="center" wrapText="1"/>
    </xf>
    <xf numFmtId="0" fontId="0" fillId="0" borderId="32" xfId="4" applyFont="1" applyBorder="1" applyAlignment="1">
      <alignment horizontal="center" vertical="center"/>
    </xf>
    <xf numFmtId="0" fontId="0" fillId="0" borderId="33" xfId="4" applyFont="1" applyBorder="1" applyAlignment="1">
      <alignment horizontal="center" vertical="center"/>
    </xf>
    <xf numFmtId="0" fontId="18" fillId="0" borderId="33" xfId="4" applyFont="1" applyBorder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0" fontId="47" fillId="0" borderId="33" xfId="4" applyFont="1" applyBorder="1" applyAlignment="1">
      <alignment horizontal="center" vertical="center"/>
    </xf>
    <xf numFmtId="0" fontId="18" fillId="0" borderId="65" xfId="4" applyFont="1" applyBorder="1" applyAlignment="1">
      <alignment horizontal="center" vertical="center"/>
    </xf>
    <xf numFmtId="0" fontId="47" fillId="0" borderId="37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7" fillId="0" borderId="34" xfId="0" applyFont="1" applyBorder="1" applyAlignment="1">
      <alignment horizontal="center" vertical="center"/>
    </xf>
    <xf numFmtId="0" fontId="18" fillId="0" borderId="42" xfId="4" applyFont="1" applyBorder="1" applyAlignment="1">
      <alignment horizontal="center" vertical="center"/>
    </xf>
    <xf numFmtId="0" fontId="21" fillId="0" borderId="37" xfId="4" applyFont="1" applyBorder="1" applyAlignment="1">
      <alignment horizontal="center" vertical="center"/>
    </xf>
    <xf numFmtId="0" fontId="47" fillId="0" borderId="34" xfId="4" applyFont="1" applyBorder="1" applyAlignment="1">
      <alignment horizontal="center" vertical="center"/>
    </xf>
    <xf numFmtId="0" fontId="3" fillId="0" borderId="32" xfId="4" applyBorder="1" applyAlignment="1">
      <alignment horizontal="center" vertical="center"/>
    </xf>
    <xf numFmtId="165" fontId="47" fillId="0" borderId="34" xfId="4" applyNumberFormat="1" applyFont="1" applyBorder="1" applyAlignment="1">
      <alignment horizontal="center" vertical="center" wrapText="1"/>
    </xf>
    <xf numFmtId="165" fontId="47" fillId="0" borderId="34" xfId="4" applyNumberFormat="1" applyFont="1" applyBorder="1" applyAlignment="1">
      <alignment horizontal="center" vertical="center"/>
    </xf>
    <xf numFmtId="0" fontId="3" fillId="0" borderId="79" xfId="4" applyBorder="1" applyAlignment="1">
      <alignment horizontal="center" vertical="center"/>
    </xf>
    <xf numFmtId="165" fontId="47" fillId="0" borderId="79" xfId="4" applyNumberFormat="1" applyFont="1" applyBorder="1" applyAlignment="1">
      <alignment horizontal="center" vertical="center" wrapText="1"/>
    </xf>
    <xf numFmtId="0" fontId="3" fillId="0" borderId="41" xfId="4" applyBorder="1" applyAlignment="1">
      <alignment horizontal="center" vertical="center"/>
    </xf>
    <xf numFmtId="15" fontId="2" fillId="0" borderId="33" xfId="0" applyNumberFormat="1" applyFont="1" applyBorder="1" applyAlignment="1">
      <alignment horizontal="center" vertical="center"/>
    </xf>
    <xf numFmtId="0" fontId="5" fillId="0" borderId="32" xfId="4" applyFont="1" applyBorder="1" applyAlignment="1">
      <alignment horizontal="center" vertical="center"/>
    </xf>
    <xf numFmtId="0" fontId="2" fillId="12" borderId="34" xfId="0" applyFont="1" applyFill="1" applyBorder="1" applyAlignment="1">
      <alignment horizontal="center" vertical="center"/>
    </xf>
    <xf numFmtId="1" fontId="2" fillId="12" borderId="34" xfId="4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/>
    </xf>
    <xf numFmtId="1" fontId="20" fillId="12" borderId="34" xfId="4" applyNumberFormat="1" applyFont="1" applyFill="1" applyBorder="1" applyAlignment="1">
      <alignment horizontal="center" vertical="center"/>
    </xf>
    <xf numFmtId="0" fontId="31" fillId="12" borderId="34" xfId="0" applyFont="1" applyFill="1" applyBorder="1" applyAlignment="1">
      <alignment horizontal="center" vertical="center"/>
    </xf>
    <xf numFmtId="0" fontId="31" fillId="12" borderId="34" xfId="4" applyFont="1" applyFill="1" applyBorder="1" applyAlignment="1">
      <alignment horizontal="center" vertical="center"/>
    </xf>
    <xf numFmtId="1" fontId="20" fillId="12" borderId="42" xfId="4" applyNumberFormat="1" applyFont="1" applyFill="1" applyBorder="1" applyAlignment="1">
      <alignment horizontal="center" vertical="center"/>
    </xf>
    <xf numFmtId="0" fontId="5" fillId="12" borderId="113" xfId="4" applyFont="1" applyFill="1" applyBorder="1" applyAlignment="1">
      <alignment horizontal="center" vertical="center"/>
    </xf>
    <xf numFmtId="1" fontId="5" fillId="12" borderId="113" xfId="4" applyNumberFormat="1" applyFont="1" applyFill="1" applyBorder="1" applyAlignment="1">
      <alignment horizontal="center" vertical="center"/>
    </xf>
    <xf numFmtId="0" fontId="15" fillId="12" borderId="113" xfId="4" applyFont="1" applyFill="1" applyBorder="1" applyAlignment="1">
      <alignment horizontal="center" vertical="center"/>
    </xf>
    <xf numFmtId="1" fontId="15" fillId="12" borderId="113" xfId="4" applyNumberFormat="1" applyFont="1" applyFill="1" applyBorder="1" applyAlignment="1">
      <alignment horizontal="center" vertical="center"/>
    </xf>
    <xf numFmtId="1" fontId="15" fillId="12" borderId="65" xfId="4" applyNumberFormat="1" applyFont="1" applyFill="1" applyBorder="1" applyAlignment="1">
      <alignment horizontal="center" vertical="center"/>
    </xf>
    <xf numFmtId="0" fontId="5" fillId="0" borderId="106" xfId="4" applyFont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7" fillId="2" borderId="98" xfId="0" applyFont="1" applyFill="1" applyBorder="1" applyAlignment="1">
      <alignment horizontal="center" vertical="center" wrapText="1"/>
    </xf>
    <xf numFmtId="17" fontId="6" fillId="2" borderId="118" xfId="0" applyNumberFormat="1" applyFont="1" applyFill="1" applyBorder="1" applyAlignment="1">
      <alignment horizontal="center" vertical="center" wrapText="1"/>
    </xf>
    <xf numFmtId="17" fontId="6" fillId="2" borderId="119" xfId="0" applyNumberFormat="1" applyFont="1" applyFill="1" applyBorder="1" applyAlignment="1">
      <alignment horizontal="center" vertical="center" wrapText="1"/>
    </xf>
    <xf numFmtId="17" fontId="6" fillId="2" borderId="120" xfId="0" applyNumberFormat="1" applyFont="1" applyFill="1" applyBorder="1" applyAlignment="1">
      <alignment horizontal="center" vertical="center" wrapText="1"/>
    </xf>
    <xf numFmtId="0" fontId="2" fillId="0" borderId="34" xfId="0" applyFont="1" applyBorder="1" applyAlignment="1">
      <alignment vertical="center"/>
    </xf>
    <xf numFmtId="1" fontId="18" fillId="0" borderId="34" xfId="0" applyNumberFormat="1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18" fillId="0" borderId="33" xfId="0" applyNumberFormat="1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/>
    </xf>
    <xf numFmtId="0" fontId="20" fillId="0" borderId="71" xfId="0" applyFont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1" fontId="20" fillId="0" borderId="35" xfId="0" applyNumberFormat="1" applyFont="1" applyBorder="1" applyAlignment="1">
      <alignment horizontal="center" vertical="center"/>
    </xf>
    <xf numFmtId="1" fontId="2" fillId="0" borderId="35" xfId="0" applyNumberFormat="1" applyFont="1" applyBorder="1" applyAlignment="1">
      <alignment horizontal="center" vertical="center"/>
    </xf>
    <xf numFmtId="1" fontId="2" fillId="0" borderId="41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7" fontId="7" fillId="0" borderId="0" xfId="0" applyNumberFormat="1" applyFont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9" fontId="13" fillId="9" borderId="13" xfId="0" applyNumberFormat="1" applyFont="1" applyFill="1" applyBorder="1" applyAlignment="1">
      <alignment horizontal="center" vertical="center"/>
    </xf>
    <xf numFmtId="9" fontId="13" fillId="9" borderId="14" xfId="0" applyNumberFormat="1" applyFont="1" applyFill="1" applyBorder="1" applyAlignment="1">
      <alignment horizontal="center" vertical="center"/>
    </xf>
    <xf numFmtId="9" fontId="13" fillId="9" borderId="15" xfId="0" applyNumberFormat="1" applyFont="1" applyFill="1" applyBorder="1" applyAlignment="1">
      <alignment horizontal="center" vertical="center"/>
    </xf>
    <xf numFmtId="9" fontId="13" fillId="0" borderId="13" xfId="0" applyNumberFormat="1" applyFont="1" applyBorder="1" applyAlignment="1">
      <alignment horizontal="center" vertical="center"/>
    </xf>
    <xf numFmtId="9" fontId="13" fillId="0" borderId="14" xfId="0" applyNumberFormat="1" applyFont="1" applyBorder="1" applyAlignment="1">
      <alignment horizontal="center" vertical="center"/>
    </xf>
    <xf numFmtId="9" fontId="13" fillId="0" borderId="15" xfId="0" applyNumberFormat="1" applyFont="1" applyBorder="1" applyAlignment="1">
      <alignment horizontal="center" vertical="center"/>
    </xf>
    <xf numFmtId="3" fontId="1" fillId="0" borderId="34" xfId="0" applyNumberFormat="1" applyFont="1" applyBorder="1" applyAlignment="1">
      <alignment horizontal="center" vertical="center"/>
    </xf>
    <xf numFmtId="3" fontId="1" fillId="9" borderId="34" xfId="0" applyNumberFormat="1" applyFont="1" applyFill="1" applyBorder="1" applyAlignment="1">
      <alignment horizontal="center" vertical="center"/>
    </xf>
    <xf numFmtId="3" fontId="1" fillId="0" borderId="35" xfId="0" applyNumberFormat="1" applyFont="1" applyBorder="1" applyAlignment="1">
      <alignment horizontal="center" vertical="center"/>
    </xf>
    <xf numFmtId="168" fontId="0" fillId="0" borderId="13" xfId="0" applyNumberForma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0" fillId="12" borderId="14" xfId="0" applyFont="1" applyFill="1" applyBorder="1" applyAlignment="1">
      <alignment horizontal="center" vertical="center"/>
    </xf>
    <xf numFmtId="0" fontId="20" fillId="9" borderId="14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1" fontId="2" fillId="9" borderId="14" xfId="0" applyNumberFormat="1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/>
    </xf>
    <xf numFmtId="0" fontId="31" fillId="9" borderId="15" xfId="0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1" fontId="20" fillId="9" borderId="14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13" borderId="34" xfId="0" applyFont="1" applyFill="1" applyBorder="1" applyAlignment="1">
      <alignment horizontal="center" vertical="center"/>
    </xf>
    <xf numFmtId="15" fontId="2" fillId="0" borderId="0" xfId="0" applyNumberFormat="1" applyFont="1" applyAlignment="1">
      <alignment vertical="center"/>
    </xf>
    <xf numFmtId="0" fontId="2" fillId="13" borderId="0" xfId="0" applyFont="1" applyFill="1" applyAlignment="1">
      <alignment vertical="center"/>
    </xf>
    <xf numFmtId="0" fontId="0" fillId="0" borderId="57" xfId="0" applyBorder="1" applyAlignment="1">
      <alignment vertical="center"/>
    </xf>
    <xf numFmtId="15" fontId="0" fillId="0" borderId="57" xfId="0" applyNumberFormat="1" applyBorder="1" applyAlignment="1">
      <alignment vertical="center"/>
    </xf>
    <xf numFmtId="0" fontId="48" fillId="0" borderId="57" xfId="0" applyFont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0" fillId="0" borderId="49" xfId="0" applyBorder="1" applyAlignment="1">
      <alignment vertical="center"/>
    </xf>
    <xf numFmtId="15" fontId="0" fillId="0" borderId="50" xfId="0" applyNumberFormat="1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9" xfId="0" applyBorder="1" applyAlignment="1">
      <alignment vertical="center"/>
    </xf>
    <xf numFmtId="15" fontId="0" fillId="0" borderId="9" xfId="0" applyNumberFormat="1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1" fontId="48" fillId="0" borderId="1" xfId="0" applyNumberFormat="1" applyFont="1" applyBorder="1" applyAlignment="1">
      <alignment horizontal="center" vertical="center"/>
    </xf>
    <xf numFmtId="1" fontId="48" fillId="0" borderId="59" xfId="0" applyNumberFormat="1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0" borderId="59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49" fillId="0" borderId="63" xfId="0" applyFont="1" applyBorder="1" applyAlignment="1">
      <alignment vertical="center"/>
    </xf>
    <xf numFmtId="0" fontId="48" fillId="0" borderId="70" xfId="0" applyFont="1" applyBorder="1" applyAlignment="1">
      <alignment horizontal="center" vertical="center"/>
    </xf>
    <xf numFmtId="0" fontId="48" fillId="0" borderId="7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1" fontId="0" fillId="6" borderId="1" xfId="0" applyNumberForma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36" xfId="0" applyFont="1" applyBorder="1" applyAlignment="1">
      <alignment horizontal="right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5" fontId="9" fillId="0" borderId="2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 readingOrder="1"/>
    </xf>
    <xf numFmtId="0" fontId="26" fillId="0" borderId="41" xfId="0" applyFont="1" applyBorder="1" applyAlignment="1">
      <alignment horizontal="center" vertical="center" wrapText="1" readingOrder="1"/>
    </xf>
    <xf numFmtId="0" fontId="26" fillId="0" borderId="37" xfId="0" applyFont="1" applyBorder="1" applyAlignment="1">
      <alignment horizontal="center" vertical="center" wrapText="1" readingOrder="1"/>
    </xf>
    <xf numFmtId="0" fontId="26" fillId="0" borderId="2" xfId="0" applyFont="1" applyBorder="1" applyAlignment="1">
      <alignment horizontal="left" vertical="center" wrapText="1" readingOrder="1"/>
    </xf>
    <xf numFmtId="0" fontId="26" fillId="0" borderId="41" xfId="0" applyFont="1" applyBorder="1" applyAlignment="1">
      <alignment horizontal="left" vertical="center" wrapText="1" readingOrder="1"/>
    </xf>
    <xf numFmtId="0" fontId="26" fillId="0" borderId="37" xfId="0" applyFont="1" applyBorder="1" applyAlignment="1">
      <alignment horizontal="left" vertical="center" wrapText="1" readingOrder="1"/>
    </xf>
    <xf numFmtId="0" fontId="27" fillId="0" borderId="41" xfId="0" applyFont="1" applyBorder="1" applyAlignment="1">
      <alignment horizontal="left" vertical="center" wrapText="1" readingOrder="1"/>
    </xf>
    <xf numFmtId="0" fontId="27" fillId="0" borderId="37" xfId="0" applyFont="1" applyBorder="1" applyAlignment="1">
      <alignment horizontal="left" vertical="center" wrapText="1" readingOrder="1"/>
    </xf>
    <xf numFmtId="0" fontId="27" fillId="0" borderId="41" xfId="0" applyFont="1" applyBorder="1" applyAlignment="1">
      <alignment horizontal="center" vertical="center" wrapText="1" readingOrder="1"/>
    </xf>
    <xf numFmtId="0" fontId="27" fillId="0" borderId="37" xfId="0" applyFont="1" applyBorder="1" applyAlignment="1">
      <alignment horizontal="center" vertical="center" wrapText="1" readingOrder="1"/>
    </xf>
    <xf numFmtId="0" fontId="2" fillId="0" borderId="29" xfId="0" applyFont="1" applyBorder="1" applyAlignment="1">
      <alignment horizontal="center"/>
    </xf>
    <xf numFmtId="0" fontId="38" fillId="4" borderId="7" xfId="0" applyFont="1" applyFill="1" applyBorder="1" applyAlignment="1">
      <alignment horizontal="left" vertical="center" wrapText="1" readingOrder="1"/>
    </xf>
    <xf numFmtId="0" fontId="38" fillId="4" borderId="8" xfId="0" applyFont="1" applyFill="1" applyBorder="1" applyAlignment="1">
      <alignment horizontal="left" vertical="center" wrapText="1" readingOrder="1"/>
    </xf>
    <xf numFmtId="0" fontId="38" fillId="4" borderId="36" xfId="0" applyFont="1" applyFill="1" applyBorder="1" applyAlignment="1">
      <alignment horizontal="left" vertical="center" wrapText="1" readingOrder="1"/>
    </xf>
    <xf numFmtId="0" fontId="38" fillId="4" borderId="32" xfId="0" applyFont="1" applyFill="1" applyBorder="1" applyAlignment="1">
      <alignment horizontal="left" vertical="center" wrapText="1" readingOrder="1"/>
    </xf>
    <xf numFmtId="0" fontId="38" fillId="4" borderId="0" xfId="0" applyFont="1" applyFill="1" applyAlignment="1">
      <alignment horizontal="left" vertical="center" wrapText="1" readingOrder="1"/>
    </xf>
    <xf numFmtId="0" fontId="38" fillId="4" borderId="6" xfId="0" applyFont="1" applyFill="1" applyBorder="1" applyAlignment="1">
      <alignment horizontal="left" vertical="center" wrapText="1" readingOrder="1"/>
    </xf>
    <xf numFmtId="0" fontId="38" fillId="4" borderId="21" xfId="0" applyFont="1" applyFill="1" applyBorder="1" applyAlignment="1">
      <alignment horizontal="left" vertical="center" wrapText="1" readingOrder="1"/>
    </xf>
    <xf numFmtId="0" fontId="38" fillId="4" borderId="29" xfId="0" applyFont="1" applyFill="1" applyBorder="1" applyAlignment="1">
      <alignment horizontal="left" vertical="center" wrapText="1" readingOrder="1"/>
    </xf>
    <xf numFmtId="0" fontId="38" fillId="4" borderId="39" xfId="0" applyFont="1" applyFill="1" applyBorder="1" applyAlignment="1">
      <alignment horizontal="left" vertical="center" wrapText="1" readingOrder="1"/>
    </xf>
    <xf numFmtId="1" fontId="28" fillId="4" borderId="1" xfId="0" applyNumberFormat="1" applyFont="1" applyFill="1" applyBorder="1" applyAlignment="1">
      <alignment horizontal="center" vertical="center" wrapText="1" readingOrder="1"/>
    </xf>
    <xf numFmtId="0" fontId="32" fillId="4" borderId="7" xfId="0" applyFont="1" applyFill="1" applyBorder="1" applyAlignment="1">
      <alignment horizontal="left" vertical="center" wrapText="1" readingOrder="1"/>
    </xf>
    <xf numFmtId="0" fontId="32" fillId="4" borderId="8" xfId="0" applyFont="1" applyFill="1" applyBorder="1" applyAlignment="1">
      <alignment horizontal="left" vertical="center" wrapText="1" readingOrder="1"/>
    </xf>
    <xf numFmtId="0" fontId="32" fillId="4" borderId="36" xfId="0" applyFont="1" applyFill="1" applyBorder="1" applyAlignment="1">
      <alignment horizontal="left" vertical="center" wrapText="1" readingOrder="1"/>
    </xf>
    <xf numFmtId="0" fontId="32" fillId="4" borderId="32" xfId="0" applyFont="1" applyFill="1" applyBorder="1" applyAlignment="1">
      <alignment horizontal="left" vertical="center" wrapText="1" readingOrder="1"/>
    </xf>
    <xf numFmtId="0" fontId="32" fillId="4" borderId="0" xfId="0" applyFont="1" applyFill="1" applyAlignment="1">
      <alignment horizontal="left" vertical="center" wrapText="1" readingOrder="1"/>
    </xf>
    <xf numFmtId="0" fontId="32" fillId="4" borderId="6" xfId="0" applyFont="1" applyFill="1" applyBorder="1" applyAlignment="1">
      <alignment horizontal="left" vertical="center" wrapText="1" readingOrder="1"/>
    </xf>
    <xf numFmtId="0" fontId="32" fillId="4" borderId="21" xfId="0" applyFont="1" applyFill="1" applyBorder="1" applyAlignment="1">
      <alignment horizontal="left" vertical="center" wrapText="1" readingOrder="1"/>
    </xf>
    <xf numFmtId="0" fontId="32" fillId="4" borderId="29" xfId="0" applyFont="1" applyFill="1" applyBorder="1" applyAlignment="1">
      <alignment horizontal="left" vertical="center" wrapText="1" readingOrder="1"/>
    </xf>
    <xf numFmtId="0" fontId="32" fillId="4" borderId="39" xfId="0" applyFont="1" applyFill="1" applyBorder="1" applyAlignment="1">
      <alignment horizontal="left" vertical="center" wrapText="1" readingOrder="1"/>
    </xf>
    <xf numFmtId="0" fontId="26" fillId="0" borderId="3" xfId="0" applyFont="1" applyBorder="1" applyAlignment="1">
      <alignment horizontal="center" vertical="center" wrapText="1" readingOrder="1"/>
    </xf>
    <xf numFmtId="0" fontId="26" fillId="0" borderId="3" xfId="0" applyFont="1" applyBorder="1" applyAlignment="1">
      <alignment horizontal="left" vertical="center" wrapText="1" readingOrder="1"/>
    </xf>
    <xf numFmtId="0" fontId="27" fillId="0" borderId="3" xfId="0" applyFont="1" applyBorder="1" applyAlignment="1">
      <alignment horizontal="left" vertical="center" wrapText="1" readingOrder="1"/>
    </xf>
    <xf numFmtId="0" fontId="27" fillId="0" borderId="3" xfId="0" applyFont="1" applyBorder="1" applyAlignment="1">
      <alignment horizontal="center" vertical="center" wrapText="1" readingOrder="1"/>
    </xf>
    <xf numFmtId="0" fontId="16" fillId="0" borderId="2" xfId="0" applyFont="1" applyBorder="1" applyAlignment="1">
      <alignment horizontal="center" vertical="center" wrapText="1" readingOrder="1"/>
    </xf>
    <xf numFmtId="0" fontId="29" fillId="0" borderId="41" xfId="0" applyFont="1" applyBorder="1" applyAlignment="1">
      <alignment horizontal="center" vertical="center" wrapText="1" readingOrder="1"/>
    </xf>
    <xf numFmtId="0" fontId="29" fillId="0" borderId="37" xfId="0" applyFont="1" applyBorder="1" applyAlignment="1">
      <alignment horizontal="center" vertical="center" wrapText="1" readingOrder="1"/>
    </xf>
    <xf numFmtId="0" fontId="29" fillId="0" borderId="3" xfId="0" applyFont="1" applyBorder="1" applyAlignment="1">
      <alignment horizontal="center" vertical="center" wrapText="1" readingOrder="1"/>
    </xf>
    <xf numFmtId="0" fontId="28" fillId="4" borderId="1" xfId="0" applyFont="1" applyFill="1" applyBorder="1" applyAlignment="1">
      <alignment horizontal="center" vertical="center" wrapText="1" readingOrder="1"/>
    </xf>
    <xf numFmtId="0" fontId="2" fillId="0" borderId="29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0" fillId="0" borderId="4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8" fillId="0" borderId="6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15" fontId="31" fillId="0" borderId="29" xfId="0" applyNumberFormat="1" applyFont="1" applyBorder="1" applyAlignment="1">
      <alignment horizontal="center" vertical="center"/>
    </xf>
    <xf numFmtId="0" fontId="14" fillId="0" borderId="29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0" fillId="0" borderId="75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14" fillId="0" borderId="76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9" fillId="0" borderId="76" xfId="0" applyFont="1" applyBorder="1" applyAlignment="1">
      <alignment horizontal="right" vertical="center"/>
    </xf>
    <xf numFmtId="0" fontId="9" fillId="0" borderId="50" xfId="0" applyFont="1" applyBorder="1" applyAlignment="1">
      <alignment horizontal="right" vertical="center"/>
    </xf>
    <xf numFmtId="0" fontId="9" fillId="0" borderId="77" xfId="0" applyFont="1" applyBorder="1" applyAlignment="1">
      <alignment horizontal="right" vertical="center"/>
    </xf>
    <xf numFmtId="0" fontId="7" fillId="2" borderId="94" xfId="0" applyFont="1" applyFill="1" applyBorder="1" applyAlignment="1">
      <alignment horizontal="center" vertical="center" wrapText="1"/>
    </xf>
    <xf numFmtId="0" fontId="7" fillId="2" borderId="100" xfId="0" applyFont="1" applyFill="1" applyBorder="1" applyAlignment="1">
      <alignment horizontal="center" vertical="center" wrapText="1"/>
    </xf>
    <xf numFmtId="0" fontId="7" fillId="2" borderId="95" xfId="0" applyFont="1" applyFill="1" applyBorder="1" applyAlignment="1">
      <alignment horizontal="center" vertical="center" wrapText="1"/>
    </xf>
    <xf numFmtId="0" fontId="7" fillId="2" borderId="101" xfId="0" applyFont="1" applyFill="1" applyBorder="1" applyAlignment="1">
      <alignment horizontal="center" vertical="center" wrapText="1"/>
    </xf>
    <xf numFmtId="17" fontId="6" fillId="2" borderId="97" xfId="0" applyNumberFormat="1" applyFont="1" applyFill="1" applyBorder="1" applyAlignment="1">
      <alignment horizontal="center" vertical="center" wrapText="1"/>
    </xf>
    <xf numFmtId="17" fontId="6" fillId="2" borderId="98" xfId="0" applyNumberFormat="1" applyFont="1" applyFill="1" applyBorder="1" applyAlignment="1">
      <alignment horizontal="center" vertical="center" wrapText="1"/>
    </xf>
    <xf numFmtId="17" fontId="6" fillId="2" borderId="99" xfId="0" applyNumberFormat="1" applyFont="1" applyFill="1" applyBorder="1" applyAlignment="1">
      <alignment horizontal="center" vertical="center" wrapText="1"/>
    </xf>
    <xf numFmtId="17" fontId="6" fillId="2" borderId="95" xfId="0" applyNumberFormat="1" applyFont="1" applyFill="1" applyBorder="1" applyAlignment="1">
      <alignment horizontal="center" vertical="center" wrapText="1"/>
    </xf>
    <xf numFmtId="17" fontId="6" fillId="2" borderId="101" xfId="0" applyNumberFormat="1" applyFont="1" applyFill="1" applyBorder="1" applyAlignment="1">
      <alignment horizontal="center" vertical="center" wrapText="1"/>
    </xf>
    <xf numFmtId="0" fontId="5" fillId="0" borderId="107" xfId="0" applyFont="1" applyBorder="1" applyAlignment="1">
      <alignment horizontal="center" vertical="center"/>
    </xf>
    <xf numFmtId="0" fontId="5" fillId="0" borderId="108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0" fontId="5" fillId="0" borderId="68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0" fillId="0" borderId="6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3" xfId="0" applyBorder="1" applyAlignment="1">
      <alignment horizontal="center"/>
    </xf>
    <xf numFmtId="0" fontId="8" fillId="0" borderId="88" xfId="0" applyFont="1" applyBorder="1" applyAlignment="1">
      <alignment horizontal="left" vertical="center"/>
    </xf>
    <xf numFmtId="0" fontId="8" fillId="0" borderId="89" xfId="0" applyFont="1" applyBorder="1" applyAlignment="1">
      <alignment horizontal="left" vertical="center"/>
    </xf>
    <xf numFmtId="0" fontId="8" fillId="0" borderId="90" xfId="0" applyFont="1" applyBorder="1" applyAlignment="1">
      <alignment horizontal="left" vertical="center"/>
    </xf>
    <xf numFmtId="0" fontId="5" fillId="0" borderId="69" xfId="0" applyFont="1" applyBorder="1" applyAlignment="1">
      <alignment horizontal="right" vertical="center"/>
    </xf>
    <xf numFmtId="0" fontId="5" fillId="0" borderId="70" xfId="0" applyFont="1" applyBorder="1" applyAlignment="1">
      <alignment horizontal="right" vertical="center"/>
    </xf>
    <xf numFmtId="0" fontId="5" fillId="0" borderId="64" xfId="4" applyFont="1" applyBorder="1" applyAlignment="1">
      <alignment horizontal="right" vertical="center"/>
    </xf>
    <xf numFmtId="0" fontId="5" fillId="0" borderId="33" xfId="4" applyFont="1" applyBorder="1" applyAlignment="1">
      <alignment horizontal="right" vertical="center"/>
    </xf>
    <xf numFmtId="0" fontId="5" fillId="0" borderId="62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63" xfId="4" applyFont="1" applyBorder="1" applyAlignment="1">
      <alignment horizontal="center" vertical="center"/>
    </xf>
    <xf numFmtId="0" fontId="5" fillId="0" borderId="43" xfId="4" applyFont="1" applyBorder="1" applyAlignment="1">
      <alignment horizontal="right" vertical="center"/>
    </xf>
    <xf numFmtId="0" fontId="5" fillId="0" borderId="34" xfId="4" applyFont="1" applyBorder="1" applyAlignment="1">
      <alignment horizontal="right" vertical="center"/>
    </xf>
    <xf numFmtId="0" fontId="5" fillId="11" borderId="34" xfId="4" applyFont="1" applyFill="1" applyBorder="1" applyAlignment="1">
      <alignment horizontal="center" vertical="center"/>
    </xf>
    <xf numFmtId="0" fontId="41" fillId="0" borderId="34" xfId="4" applyFont="1" applyBorder="1" applyAlignment="1">
      <alignment horizontal="center" vertical="center"/>
    </xf>
    <xf numFmtId="1" fontId="15" fillId="0" borderId="34" xfId="4" applyNumberFormat="1" applyFont="1" applyBorder="1" applyAlignment="1">
      <alignment horizontal="center" vertical="center"/>
    </xf>
    <xf numFmtId="1" fontId="5" fillId="0" borderId="34" xfId="4" applyNumberFormat="1" applyFont="1" applyBorder="1" applyAlignment="1">
      <alignment horizontal="center" vertical="center"/>
    </xf>
    <xf numFmtId="0" fontId="5" fillId="0" borderId="34" xfId="4" applyFont="1" applyBorder="1" applyAlignment="1">
      <alignment horizontal="center" vertical="center"/>
    </xf>
    <xf numFmtId="0" fontId="5" fillId="0" borderId="114" xfId="4" applyFont="1" applyBorder="1" applyAlignment="1">
      <alignment horizontal="center" vertical="center"/>
    </xf>
    <xf numFmtId="0" fontId="5" fillId="0" borderId="102" xfId="4" applyFont="1" applyBorder="1" applyAlignment="1">
      <alignment horizontal="center" vertical="center"/>
    </xf>
    <xf numFmtId="0" fontId="5" fillId="0" borderId="99" xfId="4" applyFont="1" applyBorder="1" applyAlignment="1">
      <alignment horizontal="center" vertical="center"/>
    </xf>
    <xf numFmtId="0" fontId="5" fillId="0" borderId="115" xfId="4" applyFont="1" applyBorder="1" applyAlignment="1">
      <alignment horizontal="center" vertical="center"/>
    </xf>
    <xf numFmtId="0" fontId="5" fillId="0" borderId="116" xfId="4" applyFont="1" applyBorder="1" applyAlignment="1">
      <alignment horizontal="center" vertical="center"/>
    </xf>
    <xf numFmtId="0" fontId="5" fillId="0" borderId="117" xfId="4" applyFont="1" applyBorder="1" applyAlignment="1">
      <alignment horizontal="center" vertical="center"/>
    </xf>
    <xf numFmtId="0" fontId="5" fillId="0" borderId="91" xfId="4" applyFont="1" applyBorder="1" applyAlignment="1">
      <alignment horizontal="right" vertical="center"/>
    </xf>
    <xf numFmtId="0" fontId="5" fillId="0" borderId="92" xfId="4" applyFont="1" applyBorder="1" applyAlignment="1">
      <alignment horizontal="right" vertical="center"/>
    </xf>
    <xf numFmtId="0" fontId="5" fillId="0" borderId="92" xfId="4" applyFont="1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0" fontId="41" fillId="0" borderId="92" xfId="4" applyFont="1" applyBorder="1" applyAlignment="1">
      <alignment horizontal="center" vertical="center"/>
    </xf>
    <xf numFmtId="1" fontId="15" fillId="0" borderId="92" xfId="4" applyNumberFormat="1" applyFont="1" applyBorder="1" applyAlignment="1">
      <alignment horizontal="center" vertical="center"/>
    </xf>
    <xf numFmtId="1" fontId="5" fillId="0" borderId="92" xfId="4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5">
    <cellStyle name="Comma 2" xfId="1" xr:uid="{BAE71278-8E0C-4184-B571-A9DF98AC7229}"/>
    <cellStyle name="Normal" xfId="0" builtinId="0"/>
    <cellStyle name="Normal 13" xfId="2" xr:uid="{71D06077-78EF-4B7C-AAAB-EFA472F5500D}"/>
    <cellStyle name="Normal 2" xfId="3" xr:uid="{A9E10169-B500-4C71-8396-F9500C13B222}"/>
    <cellStyle name="Normal 4" xfId="4" xr:uid="{E7399A0D-CD46-4FFF-B16B-723254105A6F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73BC8A1-53D7-40E3-AB2B-AEE60B4EC1E6}"/>
  </tableStyles>
  <colors>
    <mruColors>
      <color rgb="FFCC0099"/>
      <color rgb="FFCC00CC"/>
      <color rgb="FFFF3300"/>
      <color rgb="FF66FF66"/>
      <color rgb="FF96FF75"/>
      <color rgb="FFBBA2CC"/>
      <color rgb="FFBFF7C8"/>
      <color rgb="FFFFCC66"/>
      <color rgb="FF0055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Linked'!$I$328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CC00CC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98A-4E69-9025-DF1F24ECCE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Linked'!$J$327:$U$327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'Summary Linked'!$J$328:$U$328</c:f>
              <c:numCache>
                <c:formatCode>0</c:formatCode>
                <c:ptCount val="12"/>
                <c:pt idx="0">
                  <c:v>1114.5</c:v>
                </c:pt>
                <c:pt idx="1">
                  <c:v>532</c:v>
                </c:pt>
                <c:pt idx="2">
                  <c:v>1196.4000000000001</c:v>
                </c:pt>
                <c:pt idx="3">
                  <c:v>643.6</c:v>
                </c:pt>
                <c:pt idx="4">
                  <c:v>26</c:v>
                </c:pt>
                <c:pt idx="5">
                  <c:v>459</c:v>
                </c:pt>
                <c:pt idx="6">
                  <c:v>419</c:v>
                </c:pt>
                <c:pt idx="7">
                  <c:v>405</c:v>
                </c:pt>
                <c:pt idx="8">
                  <c:v>555</c:v>
                </c:pt>
                <c:pt idx="9">
                  <c:v>262.39999999999998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A-4E69-9025-DF1F24ECCE27}"/>
            </c:ext>
          </c:extLst>
        </c:ser>
        <c:ser>
          <c:idx val="1"/>
          <c:order val="1"/>
          <c:tx>
            <c:strRef>
              <c:f>'Summary Linked'!$I$329</c:f>
              <c:strCache>
                <c:ptCount val="1"/>
                <c:pt idx="0">
                  <c:v>Rephase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Linked'!$J$327:$U$327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'Summary Linked'!$J$329:$U$329</c:f>
              <c:numCache>
                <c:formatCode>0</c:formatCode>
                <c:ptCount val="12"/>
                <c:pt idx="0">
                  <c:v>474</c:v>
                </c:pt>
                <c:pt idx="1">
                  <c:v>313.5</c:v>
                </c:pt>
                <c:pt idx="2">
                  <c:v>798.7</c:v>
                </c:pt>
                <c:pt idx="3">
                  <c:v>425.5</c:v>
                </c:pt>
                <c:pt idx="4">
                  <c:v>503</c:v>
                </c:pt>
                <c:pt idx="5">
                  <c:v>353</c:v>
                </c:pt>
                <c:pt idx="6">
                  <c:v>366.5</c:v>
                </c:pt>
                <c:pt idx="7">
                  <c:v>458.5</c:v>
                </c:pt>
                <c:pt idx="8">
                  <c:v>248.8</c:v>
                </c:pt>
                <c:pt idx="9">
                  <c:v>721</c:v>
                </c:pt>
                <c:pt idx="10">
                  <c:v>630</c:v>
                </c:pt>
                <c:pt idx="11">
                  <c:v>320.39999999999998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8A-4E69-9025-DF1F24ECCE27}"/>
            </c:ext>
          </c:extLst>
        </c:ser>
        <c:ser>
          <c:idx val="2"/>
          <c:order val="2"/>
          <c:tx>
            <c:strRef>
              <c:f>'Summary Linked'!$I$330</c:f>
              <c:strCache>
                <c:ptCount val="1"/>
                <c:pt idx="0">
                  <c:v>Actual / Fcst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98A-4E69-9025-DF1F24ECCE27}"/>
              </c:ext>
            </c:extLst>
          </c:dPt>
          <c:dPt>
            <c:idx val="8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8A-4E69-9025-DF1F24ECCE27}"/>
              </c:ext>
            </c:extLst>
          </c:dPt>
          <c:dPt>
            <c:idx val="9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98A-4E69-9025-DF1F24ECCE27}"/>
              </c:ext>
            </c:extLst>
          </c:dPt>
          <c:dPt>
            <c:idx val="1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8A-4E69-9025-DF1F24ECCE27}"/>
              </c:ext>
            </c:extLst>
          </c:dPt>
          <c:dPt>
            <c:idx val="1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98A-4E69-9025-DF1F24ECCE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Linked'!$J$327:$U$327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'Summary Linked'!$J$330:$U$330</c:f>
              <c:numCache>
                <c:formatCode>0</c:formatCode>
                <c:ptCount val="12"/>
                <c:pt idx="0">
                  <c:v>474</c:v>
                </c:pt>
                <c:pt idx="1">
                  <c:v>313.5</c:v>
                </c:pt>
                <c:pt idx="2">
                  <c:v>798.7</c:v>
                </c:pt>
                <c:pt idx="3">
                  <c:v>127.6</c:v>
                </c:pt>
                <c:pt idx="4">
                  <c:v>387.3</c:v>
                </c:pt>
                <c:pt idx="5">
                  <c:v>531.20000000000005</c:v>
                </c:pt>
                <c:pt idx="6">
                  <c:v>203</c:v>
                </c:pt>
                <c:pt idx="7">
                  <c:v>370</c:v>
                </c:pt>
                <c:pt idx="8">
                  <c:v>818</c:v>
                </c:pt>
                <c:pt idx="9">
                  <c:v>972</c:v>
                </c:pt>
                <c:pt idx="10">
                  <c:v>388</c:v>
                </c:pt>
                <c:pt idx="11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8A-4E69-9025-DF1F24ECC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3386031"/>
        <c:axId val="393366351"/>
      </c:barChart>
      <c:dateAx>
        <c:axId val="393386031"/>
        <c:scaling>
          <c:orientation val="maxMin"/>
        </c:scaling>
        <c:delete val="0"/>
        <c:axPos val="l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366351"/>
        <c:crosses val="autoZero"/>
        <c:auto val="1"/>
        <c:lblOffset val="100"/>
        <c:baseTimeUnit val="months"/>
      </c:dateAx>
      <c:valAx>
        <c:axId val="393366351"/>
        <c:scaling>
          <c:orientation val="minMax"/>
        </c:scaling>
        <c:delete val="1"/>
        <c:axPos val="t"/>
        <c:numFmt formatCode="0" sourceLinked="1"/>
        <c:majorTickMark val="none"/>
        <c:minorTickMark val="none"/>
        <c:tickLblPos val="nextTo"/>
        <c:crossAx val="39338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10872</xdr:colOff>
      <xdr:row>1</xdr:row>
      <xdr:rowOff>204106</xdr:rowOff>
    </xdr:from>
    <xdr:to>
      <xdr:col>17</xdr:col>
      <xdr:colOff>10872</xdr:colOff>
      <xdr:row>323</xdr:row>
      <xdr:rowOff>18481</xdr:rowOff>
    </xdr:to>
    <xdr:cxnSp macro="">
      <xdr:nvCxnSpPr>
        <xdr:cNvPr id="4" name="Straight Connector 2">
          <a:extLst>
            <a:ext uri="{FF2B5EF4-FFF2-40B4-BE49-F238E27FC236}">
              <a16:creationId xmlns:a16="http://schemas.microsoft.com/office/drawing/2014/main" id="{903BEFBB-0073-4593-85F0-8F1B12EADE5A}"/>
            </a:ext>
          </a:extLst>
        </xdr:cNvPr>
        <xdr:cNvCxnSpPr/>
      </xdr:nvCxnSpPr>
      <xdr:spPr>
        <a:xfrm flipH="1">
          <a:off x="12364797" y="508906"/>
          <a:ext cx="0" cy="7225200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501856</xdr:colOff>
      <xdr:row>337</xdr:row>
      <xdr:rowOff>122903</xdr:rowOff>
    </xdr:from>
    <xdr:to>
      <xdr:col>4</xdr:col>
      <xdr:colOff>935089</xdr:colOff>
      <xdr:row>374</xdr:row>
      <xdr:rowOff>146717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955180-262C-4D54-92D5-815148CD20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daniltd-my.sharepoint.com/personal/agel_documents_adani_com/Documents/AGEL%20Documentation/Project%20Services/Planning/3.%20Hybrid/2.%20Schedule/01.%20Khavda/02.%20FY%2025-26/1.%20BD%20Growth%20Plan/02b.%20AGEL%20FY%2025-26%20Internal%20Commissioning%20Actuals_01-Oct-25.xlsx" TargetMode="External"/><Relationship Id="rId2" Type="http://schemas.microsoft.com/office/2019/04/relationships/externalLinkLongPath" Target="/personal/agel_documents_adani_com/Documents/AGEL%20Documentation/Project%20Services/Planning/3.%20Hybrid/2.%20Schedule/01.%20Khavda/02.%20FY%2025-26/1.%20BD%20Growth%20Plan/02b.%20AGEL%20FY%2025-26%20Internal%20Commissioning%20Actuals_01-Oct-25.xlsx?A3507877" TargetMode="External"/><Relationship Id="rId1" Type="http://schemas.openxmlformats.org/officeDocument/2006/relationships/externalLinkPath" Target="file:///\\A3507877\02b.%20AGEL%20FY%2025-26%20Internal%20Commissioning%20Actuals_01-Oct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ummary Linked"/>
      <sheetName val="PSS - Cap Adds - Updated 01-Sep"/>
      <sheetName val="FY 24-26 Khavda Solar "/>
      <sheetName val="FY 24-26 Khavda Wind"/>
      <sheetName val="FY 24-26 RJ Solar"/>
      <sheetName val="FY 25-26 Plan Wind (OS Khavda)"/>
    </sheetNames>
    <sheetDataSet>
      <sheetData sheetId="0"/>
      <sheetData sheetId="1"/>
      <sheetData sheetId="2" refreshError="1">
        <row r="31">
          <cell r="M31">
            <v>45900</v>
          </cell>
        </row>
      </sheetData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unil Vyas" id="{A927F861-4387-4859-A508-3718196DA71D}" userId="S::30030299@adani.com::8d57d19d-8a0f-4087-ac37-3655e008dac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" dT="2025-01-01T15:05:17.57" personId="{A927F861-4387-4859-A508-3718196DA71D}" id="{73CBE2B7-BEA9-4A2B-BEBA-D4882F2C9528}">
    <text>1.373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5" dT="2025-01-01T15:05:17.57" personId="{A927F861-4387-4859-A508-3718196DA71D}" id="{8A2EBF9D-24B5-4937-A616-3704A50E8F22}">
    <text>1.373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5" dT="2025-01-01T15:05:17.57" personId="{A927F861-4387-4859-A508-3718196DA71D}" id="{EA282B7E-FB9B-4BFB-9014-E6C309B3BD9B}">
    <text>1.373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036C-7DC9-45D1-AB93-B7BB22576D69}">
  <sheetPr codeName="Sheet2">
    <pageSetUpPr fitToPage="1"/>
  </sheetPr>
  <dimension ref="A1:AT535"/>
  <sheetViews>
    <sheetView showZeros="0" zoomScale="80" zoomScaleNormal="80" zoomScaleSheetLayoutView="70" workbookViewId="0">
      <pane xSplit="31" ySplit="3" topLeftCell="AF10" activePane="bottomRight" state="frozen"/>
      <selection pane="bottomRight" activeCell="A35" sqref="A35:H35"/>
      <selection pane="bottomLeft" activeCell="A35" sqref="A35:H35"/>
      <selection pane="topRight" activeCell="A35" sqref="A35:H35"/>
    </sheetView>
  </sheetViews>
  <sheetFormatPr defaultColWidth="9.28515625" defaultRowHeight="13.5"/>
  <cols>
    <col min="1" max="1" width="7.140625" customWidth="1"/>
    <col min="2" max="2" width="21.28515625" customWidth="1"/>
    <col min="4" max="4" width="11.140625" customWidth="1"/>
    <col min="5" max="5" width="12.5703125" hidden="1" customWidth="1"/>
    <col min="6" max="6" width="13.28515625" style="2" bestFit="1" customWidth="1"/>
    <col min="7" max="7" width="11.42578125" style="2" customWidth="1"/>
    <col min="8" max="8" width="7.5703125" style="2" customWidth="1"/>
    <col min="9" max="10" width="7.5703125" style="2" hidden="1" customWidth="1"/>
    <col min="11" max="11" width="7.85546875" customWidth="1"/>
    <col min="12" max="12" width="5.28515625" hidden="1" customWidth="1"/>
    <col min="13" max="14" width="8.85546875" hidden="1" customWidth="1"/>
    <col min="15" max="15" width="9.28515625" customWidth="1"/>
    <col min="16" max="16" width="12.140625" style="2" customWidth="1"/>
    <col min="17" max="17" width="10.5703125" style="2" hidden="1" customWidth="1"/>
    <col min="18" max="18" width="13.28515625" style="2" hidden="1" customWidth="1"/>
    <col min="19" max="19" width="16.5703125" style="2" hidden="1" customWidth="1"/>
    <col min="20" max="20" width="14.42578125" style="2" hidden="1" customWidth="1"/>
    <col min="21" max="21" width="12" style="2" hidden="1" customWidth="1"/>
    <col min="22" max="24" width="8.85546875" style="2" hidden="1" customWidth="1"/>
    <col min="25" max="31" width="8.85546875" hidden="1" customWidth="1"/>
    <col min="32" max="38" width="7" customWidth="1"/>
    <col min="39" max="42" width="7.42578125" customWidth="1"/>
    <col min="43" max="44" width="7.5703125" customWidth="1"/>
  </cols>
  <sheetData>
    <row r="1" spans="1:44">
      <c r="G1"/>
      <c r="AR1" s="115"/>
    </row>
    <row r="2" spans="1:44" ht="18.75">
      <c r="A2" s="12" t="s">
        <v>0</v>
      </c>
      <c r="B2" s="3"/>
      <c r="C2" s="3"/>
      <c r="D2" s="3"/>
      <c r="E2" s="3"/>
      <c r="F2" s="3"/>
      <c r="G2" s="3"/>
      <c r="H2" s="3"/>
      <c r="I2" s="3"/>
      <c r="J2" s="3"/>
      <c r="K2" s="56"/>
      <c r="L2" s="56"/>
      <c r="M2" s="64"/>
      <c r="N2" s="64"/>
      <c r="O2" s="56"/>
      <c r="P2" s="57"/>
      <c r="Q2" s="57"/>
      <c r="R2" s="57"/>
      <c r="S2" s="57"/>
      <c r="T2" s="57"/>
      <c r="U2" s="57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77" t="s">
        <v>1</v>
      </c>
      <c r="AI2" s="577"/>
      <c r="AJ2" s="577"/>
      <c r="AK2" s="577"/>
      <c r="AL2" s="577"/>
      <c r="AM2" s="221"/>
      <c r="AN2" s="221"/>
      <c r="AO2" s="221"/>
      <c r="AP2" s="578">
        <v>45747</v>
      </c>
      <c r="AQ2" s="578"/>
      <c r="AR2" s="45"/>
    </row>
    <row r="3" spans="1:44" ht="56.25" customHeight="1">
      <c r="A3" s="24" t="s">
        <v>2</v>
      </c>
      <c r="B3" s="25" t="s">
        <v>3</v>
      </c>
      <c r="C3" s="25" t="s">
        <v>4</v>
      </c>
      <c r="D3" s="26" t="s">
        <v>5</v>
      </c>
      <c r="E3" s="25" t="s">
        <v>6</v>
      </c>
      <c r="F3" s="25" t="s">
        <v>7</v>
      </c>
      <c r="G3" s="25" t="s">
        <v>7</v>
      </c>
      <c r="H3" s="25" t="s">
        <v>8</v>
      </c>
      <c r="I3" s="25" t="s">
        <v>9</v>
      </c>
      <c r="J3" s="25" t="s">
        <v>10</v>
      </c>
      <c r="K3" s="25" t="s">
        <v>11</v>
      </c>
      <c r="L3" s="25" t="s">
        <v>12</v>
      </c>
      <c r="M3" s="25" t="s">
        <v>13</v>
      </c>
      <c r="N3" s="25"/>
      <c r="O3" s="25" t="s">
        <v>14</v>
      </c>
      <c r="P3" s="25" t="s">
        <v>15</v>
      </c>
      <c r="Q3" s="25" t="s">
        <v>16</v>
      </c>
      <c r="R3" s="25" t="s">
        <v>17</v>
      </c>
      <c r="S3" s="25" t="s">
        <v>18</v>
      </c>
      <c r="T3" s="25" t="s">
        <v>19</v>
      </c>
      <c r="U3" s="58" t="s">
        <v>20</v>
      </c>
      <c r="V3" s="25" t="s">
        <v>21</v>
      </c>
      <c r="W3" s="25" t="s">
        <v>22</v>
      </c>
      <c r="X3" s="25" t="s">
        <v>23</v>
      </c>
      <c r="Y3" s="25" t="s">
        <v>24</v>
      </c>
      <c r="Z3" s="25" t="s">
        <v>25</v>
      </c>
      <c r="AA3" s="25" t="s">
        <v>17</v>
      </c>
      <c r="AB3" s="25" t="s">
        <v>26</v>
      </c>
      <c r="AC3" s="25" t="s">
        <v>27</v>
      </c>
      <c r="AD3" s="27"/>
      <c r="AE3" s="25" t="s">
        <v>28</v>
      </c>
      <c r="AF3" s="40">
        <v>45748</v>
      </c>
      <c r="AG3" s="40">
        <v>45778</v>
      </c>
      <c r="AH3" s="40">
        <v>45809</v>
      </c>
      <c r="AI3" s="40">
        <v>45839</v>
      </c>
      <c r="AJ3" s="40">
        <v>45870</v>
      </c>
      <c r="AK3" s="40">
        <v>45901</v>
      </c>
      <c r="AL3" s="40">
        <v>45931</v>
      </c>
      <c r="AM3" s="40">
        <v>45962</v>
      </c>
      <c r="AN3" s="40">
        <v>45992</v>
      </c>
      <c r="AO3" s="40">
        <v>46023</v>
      </c>
      <c r="AP3" s="40">
        <v>46054</v>
      </c>
      <c r="AQ3" s="40">
        <v>46082</v>
      </c>
      <c r="AR3" s="40" t="s">
        <v>29</v>
      </c>
    </row>
    <row r="4" spans="1:44" s="3" customFormat="1" ht="18.75" customHeight="1">
      <c r="A4" s="9">
        <v>10</v>
      </c>
      <c r="B4" s="16" t="s">
        <v>30</v>
      </c>
      <c r="C4" s="16" t="s">
        <v>31</v>
      </c>
      <c r="D4" s="7" t="s">
        <v>32</v>
      </c>
      <c r="E4" s="16"/>
      <c r="F4" s="16" t="s">
        <v>33</v>
      </c>
      <c r="G4" s="13" t="s">
        <v>33</v>
      </c>
      <c r="H4" s="7" t="s">
        <v>34</v>
      </c>
      <c r="I4" s="7"/>
      <c r="J4" s="7"/>
      <c r="K4" s="7">
        <v>400</v>
      </c>
      <c r="L4" s="7">
        <v>1.37</v>
      </c>
      <c r="M4" s="5">
        <v>548</v>
      </c>
      <c r="N4" s="5"/>
      <c r="O4" s="7" t="s">
        <v>35</v>
      </c>
      <c r="P4" s="17" t="s">
        <v>36</v>
      </c>
      <c r="Q4" s="17"/>
      <c r="R4" s="17"/>
      <c r="S4" s="17" t="s">
        <v>37</v>
      </c>
      <c r="T4" s="116">
        <v>45717</v>
      </c>
      <c r="U4" s="117"/>
      <c r="V4" s="16"/>
      <c r="W4" s="18"/>
      <c r="X4" s="14"/>
      <c r="Y4" s="13"/>
      <c r="Z4" s="16"/>
      <c r="AA4" s="16"/>
      <c r="AB4" s="16"/>
      <c r="AC4" s="16"/>
      <c r="AD4" s="19"/>
      <c r="AE4" s="19"/>
      <c r="AF4" s="7">
        <v>150</v>
      </c>
      <c r="AG4" s="7">
        <v>100</v>
      </c>
      <c r="AH4" s="7"/>
      <c r="AI4" s="7"/>
      <c r="AJ4" s="7"/>
      <c r="AK4" s="7"/>
      <c r="AL4" s="7"/>
      <c r="AM4" s="7"/>
      <c r="AN4" s="7"/>
      <c r="AO4" s="7"/>
      <c r="AP4" s="7"/>
      <c r="AQ4" s="8"/>
      <c r="AR4" s="118">
        <f t="shared" ref="AR4:AR11" si="0">SUM(AF4:AQ4)</f>
        <v>250</v>
      </c>
    </row>
    <row r="5" spans="1:44" s="3" customFormat="1" ht="18.75" customHeight="1">
      <c r="A5" s="9">
        <v>13</v>
      </c>
      <c r="B5" s="16" t="s">
        <v>30</v>
      </c>
      <c r="C5" s="16" t="s">
        <v>31</v>
      </c>
      <c r="D5" s="7" t="s">
        <v>38</v>
      </c>
      <c r="E5" s="16"/>
      <c r="F5" s="16" t="s">
        <v>33</v>
      </c>
      <c r="G5" s="13" t="s">
        <v>33</v>
      </c>
      <c r="H5" s="7" t="s">
        <v>34</v>
      </c>
      <c r="I5" s="7"/>
      <c r="J5" s="7"/>
      <c r="K5" s="7">
        <v>225</v>
      </c>
      <c r="L5" s="7">
        <v>1.37</v>
      </c>
      <c r="M5" s="5">
        <v>308.25</v>
      </c>
      <c r="N5" s="5"/>
      <c r="O5" s="7" t="s">
        <v>39</v>
      </c>
      <c r="P5" s="17" t="s">
        <v>36</v>
      </c>
      <c r="Q5" s="17"/>
      <c r="R5" s="17"/>
      <c r="S5" s="117" t="s">
        <v>40</v>
      </c>
      <c r="T5" s="116">
        <v>45717</v>
      </c>
      <c r="U5" s="117"/>
      <c r="V5" s="16"/>
      <c r="W5" s="18"/>
      <c r="X5" s="14"/>
      <c r="Y5" s="13"/>
      <c r="Z5" s="16"/>
      <c r="AA5" s="16"/>
      <c r="AB5" s="16"/>
      <c r="AC5" s="16"/>
      <c r="AD5" s="19"/>
      <c r="AE5" s="19"/>
      <c r="AF5" s="7">
        <v>50</v>
      </c>
      <c r="AG5" s="7"/>
      <c r="AH5" s="7"/>
      <c r="AI5" s="7"/>
      <c r="AJ5" s="7"/>
      <c r="AK5" s="7"/>
      <c r="AL5" s="7"/>
      <c r="AM5" s="7"/>
      <c r="AN5" s="7"/>
      <c r="AO5" s="7"/>
      <c r="AP5" s="7"/>
      <c r="AQ5" s="8"/>
      <c r="AR5" s="118">
        <f t="shared" si="0"/>
        <v>50</v>
      </c>
    </row>
    <row r="6" spans="1:44" s="3" customFormat="1" ht="18.75" customHeight="1">
      <c r="A6" s="9">
        <v>11</v>
      </c>
      <c r="B6" s="16" t="s">
        <v>41</v>
      </c>
      <c r="C6" s="16" t="s">
        <v>42</v>
      </c>
      <c r="D6" s="7" t="s">
        <v>43</v>
      </c>
      <c r="E6" s="16"/>
      <c r="F6" s="16" t="s">
        <v>44</v>
      </c>
      <c r="G6" s="13" t="s">
        <v>44</v>
      </c>
      <c r="H6" s="7" t="s">
        <v>34</v>
      </c>
      <c r="I6" s="7"/>
      <c r="J6" s="7"/>
      <c r="K6" s="7">
        <v>500</v>
      </c>
      <c r="L6" s="7">
        <v>1.36</v>
      </c>
      <c r="M6" s="5">
        <v>680</v>
      </c>
      <c r="N6" s="5"/>
      <c r="O6" s="7" t="s">
        <v>45</v>
      </c>
      <c r="P6" s="17" t="s">
        <v>36</v>
      </c>
      <c r="Q6" s="17"/>
      <c r="R6" s="17"/>
      <c r="S6" s="117" t="s">
        <v>46</v>
      </c>
      <c r="T6" s="116">
        <v>45717</v>
      </c>
      <c r="U6" s="117"/>
      <c r="V6" s="16"/>
      <c r="W6" s="18"/>
      <c r="X6" s="14"/>
      <c r="Y6" s="13"/>
      <c r="Z6" s="16"/>
      <c r="AA6" s="16"/>
      <c r="AB6" s="16"/>
      <c r="AC6" s="16"/>
      <c r="AD6" s="19"/>
      <c r="AE6" s="19"/>
      <c r="AF6" s="7">
        <v>187.5</v>
      </c>
      <c r="AG6" s="7"/>
      <c r="AH6" s="7"/>
      <c r="AI6" s="7"/>
      <c r="AJ6" s="7"/>
      <c r="AK6" s="7"/>
      <c r="AL6" s="7"/>
      <c r="AM6" s="7"/>
      <c r="AN6" s="7"/>
      <c r="AO6" s="7"/>
      <c r="AP6" s="7"/>
      <c r="AQ6" s="8"/>
      <c r="AR6" s="118">
        <f t="shared" si="0"/>
        <v>187.5</v>
      </c>
    </row>
    <row r="7" spans="1:44" s="3" customFormat="1" ht="18.75" customHeight="1">
      <c r="A7" s="9">
        <v>12</v>
      </c>
      <c r="B7" s="16" t="s">
        <v>41</v>
      </c>
      <c r="C7" s="16" t="s">
        <v>42</v>
      </c>
      <c r="D7" s="7" t="s">
        <v>47</v>
      </c>
      <c r="E7" s="16"/>
      <c r="F7" s="16" t="s">
        <v>44</v>
      </c>
      <c r="G7" s="13" t="s">
        <v>44</v>
      </c>
      <c r="H7" s="7" t="s">
        <v>34</v>
      </c>
      <c r="I7" s="7"/>
      <c r="J7" s="7"/>
      <c r="K7" s="7">
        <v>350</v>
      </c>
      <c r="L7" s="7">
        <v>1.35</v>
      </c>
      <c r="M7" s="5">
        <f>L7*K7</f>
        <v>472.50000000000006</v>
      </c>
      <c r="N7" s="5"/>
      <c r="O7" s="7" t="s">
        <v>45</v>
      </c>
      <c r="P7" s="17" t="s">
        <v>36</v>
      </c>
      <c r="Q7" s="17"/>
      <c r="R7" s="17"/>
      <c r="S7" s="117" t="s">
        <v>48</v>
      </c>
      <c r="T7" s="116">
        <v>45717</v>
      </c>
      <c r="U7" s="117"/>
      <c r="V7" s="16"/>
      <c r="W7" s="18"/>
      <c r="X7" s="14"/>
      <c r="Y7" s="13"/>
      <c r="Z7" s="16"/>
      <c r="AA7" s="16"/>
      <c r="AB7" s="16"/>
      <c r="AC7" s="16"/>
      <c r="AD7" s="19"/>
      <c r="AE7" s="19"/>
      <c r="AF7" s="7"/>
      <c r="AG7" s="7"/>
      <c r="AH7" s="7">
        <v>100</v>
      </c>
      <c r="AI7" s="7">
        <v>250</v>
      </c>
      <c r="AJ7" s="7"/>
      <c r="AK7" s="7"/>
      <c r="AL7" s="7"/>
      <c r="AM7" s="7"/>
      <c r="AN7" s="7"/>
      <c r="AO7" s="7"/>
      <c r="AP7" s="7"/>
      <c r="AQ7" s="8"/>
      <c r="AR7" s="118">
        <f t="shared" si="0"/>
        <v>350</v>
      </c>
    </row>
    <row r="8" spans="1:44" s="3" customFormat="1" ht="18.75" customHeight="1">
      <c r="A8" s="9">
        <v>14</v>
      </c>
      <c r="B8" s="16" t="s">
        <v>49</v>
      </c>
      <c r="C8" s="16" t="s">
        <v>50</v>
      </c>
      <c r="D8" s="7" t="s">
        <v>51</v>
      </c>
      <c r="E8" s="16"/>
      <c r="F8" s="16" t="s">
        <v>44</v>
      </c>
      <c r="G8" s="13" t="s">
        <v>44</v>
      </c>
      <c r="H8" s="7" t="s">
        <v>52</v>
      </c>
      <c r="I8" s="7"/>
      <c r="J8" s="7"/>
      <c r="K8" s="7">
        <v>570</v>
      </c>
      <c r="L8" s="7">
        <v>1.4</v>
      </c>
      <c r="M8" s="5">
        <v>798</v>
      </c>
      <c r="N8" s="5"/>
      <c r="O8" s="7" t="s">
        <v>53</v>
      </c>
      <c r="P8" s="17" t="s">
        <v>36</v>
      </c>
      <c r="Q8" s="17"/>
      <c r="R8" s="17"/>
      <c r="S8" s="117" t="s">
        <v>54</v>
      </c>
      <c r="T8" s="116">
        <v>45717</v>
      </c>
      <c r="U8" s="117"/>
      <c r="V8" s="16"/>
      <c r="W8" s="18"/>
      <c r="X8" s="14"/>
      <c r="Y8" s="13"/>
      <c r="Z8" s="16"/>
      <c r="AA8" s="16"/>
      <c r="AB8" s="16"/>
      <c r="AC8" s="16"/>
      <c r="AD8" s="19"/>
      <c r="AE8" s="19"/>
      <c r="AF8" s="7">
        <v>295</v>
      </c>
      <c r="AG8" s="7"/>
      <c r="AH8" s="7">
        <v>275</v>
      </c>
      <c r="AI8" s="7"/>
      <c r="AJ8" s="7"/>
      <c r="AK8" s="7"/>
      <c r="AL8" s="7"/>
      <c r="AM8" s="7"/>
      <c r="AN8" s="7"/>
      <c r="AO8" s="7"/>
      <c r="AP8" s="7"/>
      <c r="AQ8" s="8"/>
      <c r="AR8" s="118">
        <f t="shared" si="0"/>
        <v>570</v>
      </c>
    </row>
    <row r="9" spans="1:44" s="3" customFormat="1" ht="18.75" customHeight="1">
      <c r="A9" s="9">
        <v>15</v>
      </c>
      <c r="B9" s="16" t="s">
        <v>30</v>
      </c>
      <c r="C9" s="16" t="s">
        <v>55</v>
      </c>
      <c r="D9" s="7" t="s">
        <v>56</v>
      </c>
      <c r="E9" s="16"/>
      <c r="F9" s="16" t="s">
        <v>33</v>
      </c>
      <c r="G9" s="13" t="s">
        <v>33</v>
      </c>
      <c r="H9" s="7" t="s">
        <v>34</v>
      </c>
      <c r="I9" s="7"/>
      <c r="J9" s="7"/>
      <c r="K9" s="7">
        <v>250</v>
      </c>
      <c r="L9" s="7">
        <v>1.37</v>
      </c>
      <c r="M9" s="5">
        <v>342.5</v>
      </c>
      <c r="N9" s="5"/>
      <c r="O9" s="7" t="s">
        <v>53</v>
      </c>
      <c r="P9" s="17" t="s">
        <v>36</v>
      </c>
      <c r="Q9" s="17"/>
      <c r="R9" s="17"/>
      <c r="S9" s="117" t="s">
        <v>54</v>
      </c>
      <c r="T9" s="116">
        <v>45717</v>
      </c>
      <c r="U9" s="117"/>
      <c r="V9" s="16"/>
      <c r="W9" s="18"/>
      <c r="X9" s="14"/>
      <c r="Y9" s="13"/>
      <c r="Z9" s="16"/>
      <c r="AA9" s="16"/>
      <c r="AB9" s="16"/>
      <c r="AC9" s="16"/>
      <c r="AD9" s="19"/>
      <c r="AE9" s="19"/>
      <c r="AF9" s="7">
        <v>150</v>
      </c>
      <c r="AG9" s="7">
        <v>100</v>
      </c>
      <c r="AH9" s="7"/>
      <c r="AI9" s="7"/>
      <c r="AJ9" s="7"/>
      <c r="AK9" s="7"/>
      <c r="AL9" s="7"/>
      <c r="AM9" s="7"/>
      <c r="AN9" s="7"/>
      <c r="AO9" s="7"/>
      <c r="AP9" s="7"/>
      <c r="AQ9" s="8"/>
      <c r="AR9" s="118">
        <f t="shared" si="0"/>
        <v>250</v>
      </c>
    </row>
    <row r="10" spans="1:44" s="3" customFormat="1" ht="18.75" customHeight="1">
      <c r="A10" s="9">
        <v>16</v>
      </c>
      <c r="B10" s="16" t="s">
        <v>57</v>
      </c>
      <c r="C10" s="16" t="s">
        <v>31</v>
      </c>
      <c r="D10" s="7" t="s">
        <v>58</v>
      </c>
      <c r="E10" s="16"/>
      <c r="F10" s="16" t="s">
        <v>44</v>
      </c>
      <c r="G10" s="13" t="s">
        <v>44</v>
      </c>
      <c r="H10" s="7" t="s">
        <v>34</v>
      </c>
      <c r="I10" s="7"/>
      <c r="J10" s="7"/>
      <c r="K10" s="7">
        <v>500</v>
      </c>
      <c r="L10" s="7">
        <v>1.37</v>
      </c>
      <c r="M10" s="5">
        <v>685</v>
      </c>
      <c r="N10" s="5"/>
      <c r="O10" s="7" t="s">
        <v>59</v>
      </c>
      <c r="P10" s="17" t="s">
        <v>36</v>
      </c>
      <c r="Q10" s="17"/>
      <c r="R10" s="17"/>
      <c r="S10" s="117" t="s">
        <v>60</v>
      </c>
      <c r="T10" s="116">
        <v>45717</v>
      </c>
      <c r="U10" s="117"/>
      <c r="V10" s="16"/>
      <c r="W10" s="18"/>
      <c r="X10" s="14"/>
      <c r="Y10" s="13"/>
      <c r="Z10" s="16"/>
      <c r="AA10" s="16"/>
      <c r="AB10" s="16"/>
      <c r="AC10" s="16"/>
      <c r="AD10" s="19"/>
      <c r="AE10" s="19"/>
      <c r="AF10" s="7">
        <v>100</v>
      </c>
      <c r="AG10" s="7"/>
      <c r="AH10" s="7">
        <v>100</v>
      </c>
      <c r="AI10" s="7">
        <v>300</v>
      </c>
      <c r="AJ10" s="7"/>
      <c r="AK10" s="7"/>
      <c r="AL10" s="7"/>
      <c r="AM10" s="7"/>
      <c r="AN10" s="7"/>
      <c r="AO10" s="7"/>
      <c r="AP10" s="7"/>
      <c r="AQ10" s="8"/>
      <c r="AR10" s="118">
        <f t="shared" si="0"/>
        <v>500</v>
      </c>
    </row>
    <row r="11" spans="1:44" s="11" customFormat="1" ht="17.25" customHeight="1">
      <c r="A11" s="570" t="s">
        <v>61</v>
      </c>
      <c r="B11" s="570"/>
      <c r="C11" s="570"/>
      <c r="D11" s="570"/>
      <c r="E11" s="570"/>
      <c r="F11" s="570"/>
      <c r="G11" s="570"/>
      <c r="H11" s="570"/>
      <c r="I11" s="113"/>
      <c r="J11" s="113"/>
      <c r="K11" s="31">
        <v>4045</v>
      </c>
      <c r="L11" s="29"/>
      <c r="M11" s="31">
        <f>SUM(M4:M10)</f>
        <v>3834.25</v>
      </c>
      <c r="N11" s="31"/>
      <c r="O11" s="29"/>
      <c r="P11" s="30"/>
      <c r="Q11" s="30"/>
      <c r="R11" s="30"/>
      <c r="S11" s="30"/>
      <c r="T11" s="30"/>
      <c r="U11" s="30"/>
      <c r="V11" s="30"/>
      <c r="W11" s="30"/>
      <c r="X11" s="30"/>
      <c r="Y11" s="29"/>
      <c r="Z11" s="29"/>
      <c r="AA11" s="29"/>
      <c r="AB11" s="29"/>
      <c r="AC11" s="29"/>
      <c r="AD11" s="29"/>
      <c r="AE11" s="29"/>
      <c r="AF11" s="31">
        <f>SUM(AF4:AF10)</f>
        <v>932.5</v>
      </c>
      <c r="AG11" s="31">
        <f>SUM(AG4:AG10)</f>
        <v>200</v>
      </c>
      <c r="AH11" s="31">
        <f>SUM(AH4:AH10)</f>
        <v>475</v>
      </c>
      <c r="AI11" s="31">
        <f>SUM(AI4:AI10)</f>
        <v>550</v>
      </c>
      <c r="AJ11" s="29"/>
      <c r="AK11" s="29"/>
      <c r="AL11" s="29"/>
      <c r="AM11" s="29"/>
      <c r="AN11" s="29"/>
      <c r="AO11" s="29"/>
      <c r="AP11" s="29"/>
      <c r="AQ11" s="29"/>
      <c r="AR11" s="29">
        <f t="shared" si="0"/>
        <v>2157.5</v>
      </c>
    </row>
    <row r="12" spans="1:44" ht="21.75" hidden="1" customHeight="1">
      <c r="AF12" s="31">
        <v>600</v>
      </c>
      <c r="AG12" s="31">
        <v>200</v>
      </c>
      <c r="AH12" s="31">
        <v>325</v>
      </c>
      <c r="AI12" s="31">
        <v>550</v>
      </c>
    </row>
    <row r="13" spans="1:44" ht="27" hidden="1">
      <c r="P13" s="25" t="s">
        <v>7</v>
      </c>
      <c r="R13" s="25" t="s">
        <v>7</v>
      </c>
      <c r="S13" s="25"/>
      <c r="T13" s="25" t="str">
        <f>U13</f>
        <v>Capacity
(MWac)</v>
      </c>
      <c r="U13" s="25" t="s">
        <v>11</v>
      </c>
      <c r="V13" s="38"/>
      <c r="W13" s="38"/>
      <c r="X13" s="38"/>
      <c r="Y13" s="39"/>
      <c r="Z13" s="39"/>
      <c r="AA13" s="39"/>
      <c r="AB13" s="39"/>
      <c r="AC13" s="39"/>
      <c r="AD13" s="39"/>
      <c r="AE13" s="39"/>
      <c r="AF13" s="40">
        <v>45748</v>
      </c>
      <c r="AG13" s="40">
        <v>45778</v>
      </c>
      <c r="AH13" s="40">
        <v>45809</v>
      </c>
      <c r="AI13" s="41">
        <v>45839</v>
      </c>
      <c r="AJ13" s="41">
        <v>45870</v>
      </c>
      <c r="AK13" s="41">
        <v>45901</v>
      </c>
      <c r="AL13" s="41">
        <v>45931</v>
      </c>
      <c r="AM13" s="41">
        <v>45962</v>
      </c>
      <c r="AN13" s="41">
        <v>45992</v>
      </c>
      <c r="AO13" s="41">
        <v>46023</v>
      </c>
      <c r="AP13" s="41">
        <v>46054</v>
      </c>
      <c r="AQ13" s="42">
        <v>46082</v>
      </c>
      <c r="AR13" s="42"/>
    </row>
    <row r="14" spans="1:44" ht="18.75" hidden="1" customHeight="1">
      <c r="P14" s="32" t="s">
        <v>33</v>
      </c>
      <c r="R14" s="32" t="s">
        <v>33</v>
      </c>
      <c r="S14" s="32"/>
      <c r="T14" s="119">
        <f>SUM(AF14:AQ14)</f>
        <v>550</v>
      </c>
      <c r="U14" s="66">
        <f>SUMIF($G$23:$G$43,$R14,K$23:K$43)</f>
        <v>1227</v>
      </c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>
        <f t="shared" ref="AF14:AQ17" si="1">SUMIF($G$4:$G$10,$R14,AF$4:AF$10)</f>
        <v>350</v>
      </c>
      <c r="AG14" s="66">
        <f t="shared" si="1"/>
        <v>200</v>
      </c>
      <c r="AH14" s="66">
        <f t="shared" si="1"/>
        <v>0</v>
      </c>
      <c r="AI14" s="66">
        <f t="shared" si="1"/>
        <v>0</v>
      </c>
      <c r="AJ14" s="66">
        <f t="shared" si="1"/>
        <v>0</v>
      </c>
      <c r="AK14" s="66">
        <f t="shared" si="1"/>
        <v>0</v>
      </c>
      <c r="AL14" s="66">
        <f t="shared" si="1"/>
        <v>0</v>
      </c>
      <c r="AM14" s="66">
        <f t="shared" si="1"/>
        <v>0</v>
      </c>
      <c r="AN14" s="66">
        <f t="shared" si="1"/>
        <v>0</v>
      </c>
      <c r="AO14" s="66">
        <f t="shared" si="1"/>
        <v>0</v>
      </c>
      <c r="AP14" s="66">
        <f t="shared" si="1"/>
        <v>0</v>
      </c>
      <c r="AQ14" s="67">
        <f t="shared" si="1"/>
        <v>0</v>
      </c>
      <c r="AR14" s="67"/>
    </row>
    <row r="15" spans="1:44" ht="18.75" hidden="1" customHeight="1">
      <c r="P15" s="36" t="s">
        <v>44</v>
      </c>
      <c r="R15" s="36" t="s">
        <v>44</v>
      </c>
      <c r="S15" s="36"/>
      <c r="T15" s="120">
        <f>SUM(AF15:AQ15)</f>
        <v>1607.5</v>
      </c>
      <c r="U15" s="65">
        <f>SUMIF($G$23:$G$43,$R15,K$23:K$43)</f>
        <v>1650</v>
      </c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>
        <f t="shared" si="1"/>
        <v>582.5</v>
      </c>
      <c r="AG15" s="65">
        <f t="shared" si="1"/>
        <v>0</v>
      </c>
      <c r="AH15" s="65">
        <f t="shared" si="1"/>
        <v>475</v>
      </c>
      <c r="AI15" s="65">
        <f t="shared" si="1"/>
        <v>550</v>
      </c>
      <c r="AJ15" s="65">
        <f t="shared" si="1"/>
        <v>0</v>
      </c>
      <c r="AK15" s="65">
        <f t="shared" si="1"/>
        <v>0</v>
      </c>
      <c r="AL15" s="65">
        <f t="shared" si="1"/>
        <v>0</v>
      </c>
      <c r="AM15" s="65">
        <f t="shared" si="1"/>
        <v>0</v>
      </c>
      <c r="AN15" s="65">
        <f t="shared" si="1"/>
        <v>0</v>
      </c>
      <c r="AO15" s="65">
        <f t="shared" si="1"/>
        <v>0</v>
      </c>
      <c r="AP15" s="65">
        <f t="shared" si="1"/>
        <v>0</v>
      </c>
      <c r="AQ15" s="68">
        <f t="shared" si="1"/>
        <v>0</v>
      </c>
      <c r="AR15" s="68"/>
    </row>
    <row r="16" spans="1:44" ht="18.75" hidden="1" customHeight="1">
      <c r="P16" s="36" t="s">
        <v>62</v>
      </c>
      <c r="R16" s="36" t="s">
        <v>62</v>
      </c>
      <c r="S16" s="36"/>
      <c r="T16" s="120">
        <f>SUM(AF16:AQ16)</f>
        <v>0</v>
      </c>
      <c r="U16" s="65">
        <f>SUMIF($G$23:$G$43,$R16,K$23:K$43)</f>
        <v>150</v>
      </c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>
        <f t="shared" si="1"/>
        <v>0</v>
      </c>
      <c r="AG16" s="65">
        <f t="shared" si="1"/>
        <v>0</v>
      </c>
      <c r="AH16" s="65">
        <f t="shared" si="1"/>
        <v>0</v>
      </c>
      <c r="AI16" s="65">
        <f t="shared" si="1"/>
        <v>0</v>
      </c>
      <c r="AJ16" s="65">
        <f t="shared" si="1"/>
        <v>0</v>
      </c>
      <c r="AK16" s="65">
        <f t="shared" si="1"/>
        <v>0</v>
      </c>
      <c r="AL16" s="65">
        <f t="shared" si="1"/>
        <v>0</v>
      </c>
      <c r="AM16" s="65">
        <f t="shared" si="1"/>
        <v>0</v>
      </c>
      <c r="AN16" s="65">
        <f t="shared" si="1"/>
        <v>0</v>
      </c>
      <c r="AO16" s="65">
        <f t="shared" si="1"/>
        <v>0</v>
      </c>
      <c r="AP16" s="65">
        <f t="shared" si="1"/>
        <v>0</v>
      </c>
      <c r="AQ16" s="68">
        <f t="shared" si="1"/>
        <v>0</v>
      </c>
      <c r="AR16" s="68"/>
    </row>
    <row r="17" spans="1:44" ht="18.75" hidden="1" customHeight="1">
      <c r="P17" s="37" t="s">
        <v>63</v>
      </c>
      <c r="R17" s="37" t="s">
        <v>63</v>
      </c>
      <c r="S17" s="37"/>
      <c r="T17" s="121">
        <f>SUM(AF17:AQ17)</f>
        <v>0</v>
      </c>
      <c r="U17" s="69">
        <f>SUMIF($G$23:$G$43,$R17,K$23:K$43)</f>
        <v>0</v>
      </c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>
        <f t="shared" si="1"/>
        <v>0</v>
      </c>
      <c r="AG17" s="69">
        <f t="shared" si="1"/>
        <v>0</v>
      </c>
      <c r="AH17" s="69">
        <f t="shared" si="1"/>
        <v>0</v>
      </c>
      <c r="AI17" s="69">
        <f t="shared" si="1"/>
        <v>0</v>
      </c>
      <c r="AJ17" s="69">
        <f t="shared" si="1"/>
        <v>0</v>
      </c>
      <c r="AK17" s="69">
        <f t="shared" si="1"/>
        <v>0</v>
      </c>
      <c r="AL17" s="69">
        <f t="shared" si="1"/>
        <v>0</v>
      </c>
      <c r="AM17" s="69">
        <f t="shared" si="1"/>
        <v>0</v>
      </c>
      <c r="AN17" s="70">
        <f t="shared" si="1"/>
        <v>0</v>
      </c>
      <c r="AO17" s="70">
        <f t="shared" si="1"/>
        <v>0</v>
      </c>
      <c r="AP17" s="69">
        <f t="shared" si="1"/>
        <v>0</v>
      </c>
      <c r="AQ17" s="71">
        <f t="shared" si="1"/>
        <v>0</v>
      </c>
      <c r="AR17" s="71"/>
    </row>
    <row r="18" spans="1:44" ht="18.75" hidden="1" customHeight="1">
      <c r="P18" s="28" t="s">
        <v>64</v>
      </c>
      <c r="R18" s="28" t="s">
        <v>64</v>
      </c>
      <c r="S18" s="28"/>
      <c r="T18" s="29">
        <f>SUM(AF18:AQ18)</f>
        <v>2157.5</v>
      </c>
      <c r="U18" s="122">
        <f t="shared" ref="U18:AQ18" si="2">SUM(U14:U17)</f>
        <v>3027</v>
      </c>
      <c r="V18" s="122">
        <f t="shared" si="2"/>
        <v>0</v>
      </c>
      <c r="W18" s="122">
        <f t="shared" si="2"/>
        <v>0</v>
      </c>
      <c r="X18" s="122">
        <f t="shared" si="2"/>
        <v>0</v>
      </c>
      <c r="Y18" s="122">
        <f t="shared" si="2"/>
        <v>0</v>
      </c>
      <c r="Z18" s="122">
        <f t="shared" si="2"/>
        <v>0</v>
      </c>
      <c r="AA18" s="122">
        <f t="shared" si="2"/>
        <v>0</v>
      </c>
      <c r="AB18" s="122">
        <f t="shared" si="2"/>
        <v>0</v>
      </c>
      <c r="AC18" s="122">
        <f t="shared" si="2"/>
        <v>0</v>
      </c>
      <c r="AD18" s="122">
        <f t="shared" si="2"/>
        <v>0</v>
      </c>
      <c r="AE18" s="122">
        <f t="shared" si="2"/>
        <v>0</v>
      </c>
      <c r="AF18" s="122">
        <f t="shared" si="2"/>
        <v>932.5</v>
      </c>
      <c r="AG18" s="122">
        <f t="shared" si="2"/>
        <v>200</v>
      </c>
      <c r="AH18" s="122">
        <f t="shared" si="2"/>
        <v>475</v>
      </c>
      <c r="AI18" s="122">
        <f t="shared" si="2"/>
        <v>550</v>
      </c>
      <c r="AJ18" s="122">
        <f t="shared" si="2"/>
        <v>0</v>
      </c>
      <c r="AK18" s="122">
        <f t="shared" si="2"/>
        <v>0</v>
      </c>
      <c r="AL18" s="122">
        <f t="shared" si="2"/>
        <v>0</v>
      </c>
      <c r="AM18" s="122">
        <f t="shared" si="2"/>
        <v>0</v>
      </c>
      <c r="AN18" s="122">
        <f t="shared" si="2"/>
        <v>0</v>
      </c>
      <c r="AO18" s="122">
        <f t="shared" si="2"/>
        <v>0</v>
      </c>
      <c r="AP18" s="122">
        <f t="shared" si="2"/>
        <v>0</v>
      </c>
      <c r="AQ18" s="122">
        <f t="shared" si="2"/>
        <v>0</v>
      </c>
      <c r="AR18" s="122"/>
    </row>
    <row r="19" spans="1:44" hidden="1"/>
    <row r="20" spans="1:44" ht="20.25" hidden="1" customHeight="1">
      <c r="AF20" s="31">
        <v>1145</v>
      </c>
      <c r="AG20" s="31">
        <v>550</v>
      </c>
      <c r="AH20" s="31">
        <v>375</v>
      </c>
      <c r="AI20" s="31"/>
    </row>
    <row r="21" spans="1:44" ht="29.25" customHeight="1">
      <c r="A21" s="12" t="s">
        <v>65</v>
      </c>
      <c r="AH21" t="s">
        <v>66</v>
      </c>
      <c r="AO21" s="46"/>
      <c r="AP21" s="44"/>
      <c r="AQ21" s="45"/>
      <c r="AR21" s="45"/>
    </row>
    <row r="22" spans="1:44" ht="60" customHeight="1">
      <c r="A22" s="24" t="s">
        <v>2</v>
      </c>
      <c r="B22" s="25" t="s">
        <v>3</v>
      </c>
      <c r="C22" s="25" t="s">
        <v>4</v>
      </c>
      <c r="D22" s="26" t="s">
        <v>5</v>
      </c>
      <c r="E22" s="25" t="s">
        <v>6</v>
      </c>
      <c r="F22" s="25" t="s">
        <v>7</v>
      </c>
      <c r="G22" s="25" t="s">
        <v>7</v>
      </c>
      <c r="H22" s="25" t="s">
        <v>8</v>
      </c>
      <c r="I22" s="25" t="s">
        <v>9</v>
      </c>
      <c r="J22" s="25" t="s">
        <v>10</v>
      </c>
      <c r="K22" s="25" t="s">
        <v>11</v>
      </c>
      <c r="L22" s="25" t="s">
        <v>12</v>
      </c>
      <c r="M22" s="25" t="s">
        <v>13</v>
      </c>
      <c r="N22" s="25" t="s">
        <v>67</v>
      </c>
      <c r="O22" s="25" t="s">
        <v>14</v>
      </c>
      <c r="P22" s="25" t="s">
        <v>15</v>
      </c>
      <c r="Q22" s="25" t="s">
        <v>16</v>
      </c>
      <c r="R22" s="25" t="s">
        <v>17</v>
      </c>
      <c r="S22" s="25" t="s">
        <v>18</v>
      </c>
      <c r="T22" s="25" t="s">
        <v>19</v>
      </c>
      <c r="U22" s="58" t="s">
        <v>20</v>
      </c>
      <c r="V22" s="25" t="s">
        <v>21</v>
      </c>
      <c r="W22" s="25" t="s">
        <v>22</v>
      </c>
      <c r="X22" s="25" t="s">
        <v>23</v>
      </c>
      <c r="Y22" s="25" t="s">
        <v>24</v>
      </c>
      <c r="Z22" s="25" t="s">
        <v>25</v>
      </c>
      <c r="AA22" s="25" t="s">
        <v>17</v>
      </c>
      <c r="AB22" s="25" t="s">
        <v>26</v>
      </c>
      <c r="AC22" s="25" t="s">
        <v>27</v>
      </c>
      <c r="AD22" s="27"/>
      <c r="AE22" s="25" t="s">
        <v>28</v>
      </c>
      <c r="AF22" s="40">
        <v>45748</v>
      </c>
      <c r="AG22" s="40">
        <v>45778</v>
      </c>
      <c r="AH22" s="40">
        <v>45809</v>
      </c>
      <c r="AI22" s="40">
        <v>45839</v>
      </c>
      <c r="AJ22" s="40">
        <v>45870</v>
      </c>
      <c r="AK22" s="40">
        <v>45901</v>
      </c>
      <c r="AL22" s="40">
        <v>45931</v>
      </c>
      <c r="AM22" s="40">
        <v>45962</v>
      </c>
      <c r="AN22" s="40">
        <v>45992</v>
      </c>
      <c r="AO22" s="40">
        <v>46023</v>
      </c>
      <c r="AP22" s="40">
        <v>46054</v>
      </c>
      <c r="AQ22" s="79">
        <v>46082</v>
      </c>
      <c r="AR22" s="79"/>
    </row>
    <row r="23" spans="1:44" s="3" customFormat="1" ht="18.75" customHeight="1">
      <c r="A23" s="123" t="s">
        <v>68</v>
      </c>
      <c r="B23" s="124" t="s">
        <v>69</v>
      </c>
      <c r="C23" s="124" t="s">
        <v>70</v>
      </c>
      <c r="D23" s="125" t="s">
        <v>71</v>
      </c>
      <c r="E23" s="124" t="s">
        <v>72</v>
      </c>
      <c r="F23" s="124" t="s">
        <v>73</v>
      </c>
      <c r="G23" s="126" t="s">
        <v>33</v>
      </c>
      <c r="H23" s="125" t="s">
        <v>34</v>
      </c>
      <c r="I23" s="125" t="s">
        <v>74</v>
      </c>
      <c r="J23" s="125">
        <v>580</v>
      </c>
      <c r="K23" s="125">
        <f t="shared" ref="K23:K37" si="3">SUM(AF23:AQ23)</f>
        <v>25</v>
      </c>
      <c r="L23" s="125">
        <v>1.35</v>
      </c>
      <c r="M23" s="127">
        <f t="shared" ref="M23:M37" si="4">L23*K23</f>
        <v>33.75</v>
      </c>
      <c r="N23" s="127">
        <v>2</v>
      </c>
      <c r="O23" s="125" t="s">
        <v>75</v>
      </c>
      <c r="P23" s="128">
        <v>45851</v>
      </c>
      <c r="Q23" s="128" t="s">
        <v>76</v>
      </c>
      <c r="R23" s="128">
        <v>45838</v>
      </c>
      <c r="S23" s="129" t="s">
        <v>77</v>
      </c>
      <c r="T23" s="130">
        <v>45838</v>
      </c>
      <c r="U23" s="129">
        <v>45615</v>
      </c>
      <c r="V23" s="124" t="s">
        <v>78</v>
      </c>
      <c r="W23" s="131">
        <v>45747</v>
      </c>
      <c r="X23" s="132"/>
      <c r="Y23" s="126"/>
      <c r="Z23" s="124"/>
      <c r="AA23" s="124"/>
      <c r="AB23" s="124"/>
      <c r="AC23" s="124"/>
      <c r="AD23" s="133"/>
      <c r="AE23" s="133"/>
      <c r="AF23" s="125"/>
      <c r="AG23" s="125"/>
      <c r="AH23" s="134">
        <v>25</v>
      </c>
      <c r="AI23" s="125"/>
      <c r="AJ23" s="125"/>
      <c r="AK23" s="125"/>
      <c r="AL23" s="125"/>
      <c r="AM23" s="125"/>
      <c r="AN23" s="125"/>
      <c r="AO23" s="125"/>
      <c r="AP23" s="125"/>
      <c r="AQ23" s="135"/>
      <c r="AR23" s="136">
        <f t="shared" ref="AR23:AR44" si="5">SUM(AF23:AQ23)</f>
        <v>25</v>
      </c>
    </row>
    <row r="24" spans="1:44" s="3" customFormat="1" ht="18.75" customHeight="1">
      <c r="A24" s="123" t="s">
        <v>79</v>
      </c>
      <c r="B24" s="124" t="s">
        <v>30</v>
      </c>
      <c r="C24" s="124" t="s">
        <v>80</v>
      </c>
      <c r="D24" s="125" t="s">
        <v>71</v>
      </c>
      <c r="E24" s="124" t="s">
        <v>81</v>
      </c>
      <c r="F24" s="124" t="s">
        <v>82</v>
      </c>
      <c r="G24" s="126" t="s">
        <v>33</v>
      </c>
      <c r="H24" s="125" t="s">
        <v>34</v>
      </c>
      <c r="I24" s="125" t="s">
        <v>74</v>
      </c>
      <c r="J24" s="125">
        <v>580</v>
      </c>
      <c r="K24" s="134">
        <f t="shared" si="3"/>
        <v>35</v>
      </c>
      <c r="L24" s="125">
        <v>1.35</v>
      </c>
      <c r="M24" s="127">
        <f t="shared" si="4"/>
        <v>47.25</v>
      </c>
      <c r="N24" s="127">
        <v>3</v>
      </c>
      <c r="O24" s="125" t="s">
        <v>75</v>
      </c>
      <c r="P24" s="128">
        <f>P23</f>
        <v>45851</v>
      </c>
      <c r="Q24" s="128" t="s">
        <v>76</v>
      </c>
      <c r="R24" s="128">
        <v>45838</v>
      </c>
      <c r="S24" s="129" t="s">
        <v>77</v>
      </c>
      <c r="T24" s="130">
        <v>45838</v>
      </c>
      <c r="U24" s="129">
        <v>45615</v>
      </c>
      <c r="V24" s="124" t="s">
        <v>78</v>
      </c>
      <c r="W24" s="131">
        <v>45747</v>
      </c>
      <c r="X24" s="132"/>
      <c r="Y24" s="126"/>
      <c r="Z24" s="124"/>
      <c r="AA24" s="124"/>
      <c r="AB24" s="124"/>
      <c r="AC24" s="124"/>
      <c r="AD24" s="133"/>
      <c r="AE24" s="133"/>
      <c r="AF24" s="125"/>
      <c r="AG24" s="125"/>
      <c r="AH24" s="134">
        <v>35</v>
      </c>
      <c r="AI24" s="125"/>
      <c r="AJ24" s="125"/>
      <c r="AK24" s="125"/>
      <c r="AL24" s="125"/>
      <c r="AM24" s="125"/>
      <c r="AN24" s="125"/>
      <c r="AO24" s="125"/>
      <c r="AP24" s="125"/>
      <c r="AQ24" s="135"/>
      <c r="AR24" s="136">
        <f t="shared" si="5"/>
        <v>35</v>
      </c>
    </row>
    <row r="25" spans="1:44" s="3" customFormat="1" ht="18.75" customHeight="1">
      <c r="A25" s="123" t="s">
        <v>83</v>
      </c>
      <c r="B25" s="124" t="s">
        <v>84</v>
      </c>
      <c r="C25" s="124" t="s">
        <v>85</v>
      </c>
      <c r="D25" s="125" t="s">
        <v>86</v>
      </c>
      <c r="E25" s="124" t="s">
        <v>87</v>
      </c>
      <c r="F25" s="124" t="s">
        <v>82</v>
      </c>
      <c r="G25" s="126" t="s">
        <v>33</v>
      </c>
      <c r="H25" s="125" t="s">
        <v>34</v>
      </c>
      <c r="I25" s="125" t="s">
        <v>74</v>
      </c>
      <c r="J25" s="125">
        <v>580</v>
      </c>
      <c r="K25" s="125">
        <f t="shared" si="3"/>
        <v>100</v>
      </c>
      <c r="L25" s="125">
        <v>1.35</v>
      </c>
      <c r="M25" s="127">
        <f t="shared" si="4"/>
        <v>135</v>
      </c>
      <c r="N25" s="127">
        <v>8</v>
      </c>
      <c r="O25" s="125" t="s">
        <v>35</v>
      </c>
      <c r="P25" s="128" t="s">
        <v>36</v>
      </c>
      <c r="Q25" s="128" t="s">
        <v>76</v>
      </c>
      <c r="R25" s="128">
        <v>45838</v>
      </c>
      <c r="S25" s="128" t="s">
        <v>88</v>
      </c>
      <c r="T25" s="137">
        <v>45838</v>
      </c>
      <c r="U25" s="129">
        <v>45615</v>
      </c>
      <c r="V25" s="124" t="s">
        <v>89</v>
      </c>
      <c r="W25" s="131">
        <v>46022</v>
      </c>
      <c r="X25" s="132"/>
      <c r="Y25" s="126"/>
      <c r="Z25" s="124"/>
      <c r="AA25" s="124"/>
      <c r="AB25" s="124"/>
      <c r="AC25" s="124"/>
      <c r="AD25" s="133"/>
      <c r="AE25" s="133"/>
      <c r="AF25" s="125"/>
      <c r="AG25" s="125"/>
      <c r="AH25" s="134"/>
      <c r="AI25" s="125"/>
      <c r="AJ25" s="125"/>
      <c r="AK25" s="125"/>
      <c r="AL25" s="125"/>
      <c r="AM25" s="125"/>
      <c r="AN25" s="125"/>
      <c r="AO25" s="125">
        <v>100</v>
      </c>
      <c r="AP25" s="125"/>
      <c r="AQ25" s="135"/>
      <c r="AR25" s="136">
        <f t="shared" si="5"/>
        <v>100</v>
      </c>
    </row>
    <row r="26" spans="1:44" s="3" customFormat="1" ht="18.75" customHeight="1">
      <c r="A26" s="123" t="s">
        <v>90</v>
      </c>
      <c r="B26" s="124" t="s">
        <v>30</v>
      </c>
      <c r="C26" s="124" t="s">
        <v>50</v>
      </c>
      <c r="D26" s="125" t="s">
        <v>91</v>
      </c>
      <c r="E26" s="124" t="s">
        <v>92</v>
      </c>
      <c r="F26" s="124" t="s">
        <v>33</v>
      </c>
      <c r="G26" s="126" t="s">
        <v>33</v>
      </c>
      <c r="H26" s="125" t="s">
        <v>34</v>
      </c>
      <c r="I26" s="125" t="s">
        <v>74</v>
      </c>
      <c r="J26" s="125">
        <v>580</v>
      </c>
      <c r="K26" s="125">
        <f t="shared" si="3"/>
        <v>150</v>
      </c>
      <c r="L26" s="125">
        <v>1.35</v>
      </c>
      <c r="M26" s="127">
        <f t="shared" si="4"/>
        <v>202.5</v>
      </c>
      <c r="N26" s="127">
        <v>12</v>
      </c>
      <c r="O26" s="125" t="s">
        <v>75</v>
      </c>
      <c r="P26" s="128">
        <f>P24</f>
        <v>45851</v>
      </c>
      <c r="Q26" s="128" t="s">
        <v>76</v>
      </c>
      <c r="R26" s="128">
        <v>45838</v>
      </c>
      <c r="S26" s="129" t="s">
        <v>93</v>
      </c>
      <c r="T26" s="130">
        <v>45838</v>
      </c>
      <c r="U26" s="129">
        <v>45615</v>
      </c>
      <c r="V26" s="124" t="s">
        <v>78</v>
      </c>
      <c r="W26" s="131">
        <v>45747</v>
      </c>
      <c r="X26" s="132"/>
      <c r="Y26" s="126"/>
      <c r="Z26" s="124"/>
      <c r="AA26" s="124"/>
      <c r="AB26" s="124"/>
      <c r="AC26" s="124"/>
      <c r="AD26" s="133"/>
      <c r="AE26" s="133"/>
      <c r="AF26" s="125"/>
      <c r="AG26" s="125"/>
      <c r="AH26" s="134"/>
      <c r="AI26" s="125"/>
      <c r="AJ26" s="125"/>
      <c r="AK26" s="125"/>
      <c r="AL26" s="125"/>
      <c r="AM26" s="125">
        <v>50</v>
      </c>
      <c r="AN26" s="125"/>
      <c r="AO26" s="125">
        <v>100</v>
      </c>
      <c r="AP26" s="125"/>
      <c r="AQ26" s="135"/>
      <c r="AR26" s="136">
        <f t="shared" si="5"/>
        <v>150</v>
      </c>
    </row>
    <row r="27" spans="1:44" s="3" customFormat="1" ht="18.75" customHeight="1">
      <c r="A27" s="123" t="s">
        <v>94</v>
      </c>
      <c r="B27" s="124" t="s">
        <v>84</v>
      </c>
      <c r="C27" s="124" t="s">
        <v>95</v>
      </c>
      <c r="D27" s="125" t="s">
        <v>96</v>
      </c>
      <c r="E27" s="124" t="s">
        <v>97</v>
      </c>
      <c r="F27" s="124" t="s">
        <v>82</v>
      </c>
      <c r="G27" s="126" t="s">
        <v>33</v>
      </c>
      <c r="H27" s="125" t="s">
        <v>34</v>
      </c>
      <c r="I27" s="125" t="s">
        <v>74</v>
      </c>
      <c r="J27" s="125">
        <v>580</v>
      </c>
      <c r="K27" s="125">
        <f t="shared" si="3"/>
        <v>142</v>
      </c>
      <c r="L27" s="125">
        <v>1.35</v>
      </c>
      <c r="M27" s="127">
        <f t="shared" si="4"/>
        <v>191.70000000000002</v>
      </c>
      <c r="N27" s="127">
        <v>24</v>
      </c>
      <c r="O27" s="125" t="s">
        <v>59</v>
      </c>
      <c r="P27" s="128" t="str">
        <f>P10</f>
        <v>Charged</v>
      </c>
      <c r="Q27" s="128" t="s">
        <v>76</v>
      </c>
      <c r="R27" s="128">
        <v>46022</v>
      </c>
      <c r="S27" s="128" t="s">
        <v>98</v>
      </c>
      <c r="T27" s="137">
        <v>45838</v>
      </c>
      <c r="U27" s="129">
        <v>45622</v>
      </c>
      <c r="V27" s="124" t="s">
        <v>89</v>
      </c>
      <c r="W27" s="131">
        <v>46022</v>
      </c>
      <c r="X27" s="132"/>
      <c r="Y27" s="126"/>
      <c r="Z27" s="124"/>
      <c r="AA27" s="124"/>
      <c r="AB27" s="124"/>
      <c r="AC27" s="124"/>
      <c r="AD27" s="133"/>
      <c r="AE27" s="133"/>
      <c r="AF27" s="125"/>
      <c r="AG27" s="125">
        <v>100</v>
      </c>
      <c r="AH27" s="134">
        <v>42</v>
      </c>
      <c r="AI27" s="125"/>
      <c r="AJ27" s="125"/>
      <c r="AK27" s="125"/>
      <c r="AL27" s="125"/>
      <c r="AM27" s="125"/>
      <c r="AN27" s="125"/>
      <c r="AO27" s="125"/>
      <c r="AP27" s="125"/>
      <c r="AQ27" s="135"/>
      <c r="AR27" s="136">
        <f t="shared" si="5"/>
        <v>142</v>
      </c>
    </row>
    <row r="28" spans="1:44" s="3" customFormat="1" ht="18.75" customHeight="1">
      <c r="A28" s="123" t="s">
        <v>99</v>
      </c>
      <c r="B28" s="124" t="s">
        <v>30</v>
      </c>
      <c r="C28" s="124" t="s">
        <v>95</v>
      </c>
      <c r="D28" s="125" t="s">
        <v>96</v>
      </c>
      <c r="E28" s="124" t="s">
        <v>97</v>
      </c>
      <c r="F28" s="124" t="s">
        <v>82</v>
      </c>
      <c r="G28" s="126" t="s">
        <v>33</v>
      </c>
      <c r="H28" s="125" t="s">
        <v>34</v>
      </c>
      <c r="I28" s="125" t="s">
        <v>74</v>
      </c>
      <c r="J28" s="125">
        <v>580</v>
      </c>
      <c r="K28" s="125">
        <f t="shared" ref="K28" si="6">SUM(AF28:AQ28)</f>
        <v>150</v>
      </c>
      <c r="L28" s="125">
        <v>1.35</v>
      </c>
      <c r="M28" s="127">
        <f t="shared" ref="M28" si="7">L28*K28</f>
        <v>202.5</v>
      </c>
      <c r="N28" s="127">
        <v>24</v>
      </c>
      <c r="O28" s="125" t="s">
        <v>59</v>
      </c>
      <c r="P28" s="128" t="str">
        <f>+P27</f>
        <v>Charged</v>
      </c>
      <c r="Q28" s="128" t="s">
        <v>76</v>
      </c>
      <c r="R28" s="128">
        <v>46022</v>
      </c>
      <c r="S28" s="128" t="s">
        <v>98</v>
      </c>
      <c r="T28" s="137">
        <v>45838</v>
      </c>
      <c r="U28" s="129">
        <v>45622</v>
      </c>
      <c r="V28" s="124" t="s">
        <v>89</v>
      </c>
      <c r="W28" s="131">
        <v>46022</v>
      </c>
      <c r="X28" s="132"/>
      <c r="Y28" s="126"/>
      <c r="Z28" s="124"/>
      <c r="AA28" s="124"/>
      <c r="AB28" s="124"/>
      <c r="AC28" s="124"/>
      <c r="AD28" s="133"/>
      <c r="AE28" s="133"/>
      <c r="AF28" s="125"/>
      <c r="AG28" s="125"/>
      <c r="AH28" s="134">
        <v>150</v>
      </c>
      <c r="AI28" s="125"/>
      <c r="AJ28" s="125"/>
      <c r="AK28" s="125"/>
      <c r="AL28" s="125"/>
      <c r="AM28" s="125"/>
      <c r="AN28" s="125"/>
      <c r="AO28" s="125"/>
      <c r="AP28" s="125"/>
      <c r="AQ28" s="135"/>
      <c r="AR28" s="136">
        <f t="shared" ref="AR28" si="8">SUM(AF28:AQ28)</f>
        <v>150</v>
      </c>
    </row>
    <row r="29" spans="1:44" s="3" customFormat="1" ht="18.75" customHeight="1">
      <c r="A29" s="123" t="s">
        <v>100</v>
      </c>
      <c r="B29" s="124" t="s">
        <v>30</v>
      </c>
      <c r="C29" s="124" t="s">
        <v>101</v>
      </c>
      <c r="D29" s="125" t="s">
        <v>96</v>
      </c>
      <c r="E29" s="124" t="s">
        <v>97</v>
      </c>
      <c r="F29" s="124" t="s">
        <v>33</v>
      </c>
      <c r="G29" s="124" t="s">
        <v>33</v>
      </c>
      <c r="H29" s="125" t="s">
        <v>34</v>
      </c>
      <c r="I29" s="125" t="s">
        <v>74</v>
      </c>
      <c r="J29" s="125">
        <v>580</v>
      </c>
      <c r="K29" s="125">
        <f t="shared" si="3"/>
        <v>150</v>
      </c>
      <c r="L29" s="125">
        <v>1.35</v>
      </c>
      <c r="M29" s="127">
        <f t="shared" si="4"/>
        <v>202.5</v>
      </c>
      <c r="N29" s="127">
        <v>12</v>
      </c>
      <c r="O29" s="125" t="s">
        <v>59</v>
      </c>
      <c r="P29" s="128" t="str">
        <f>P27</f>
        <v>Charged</v>
      </c>
      <c r="Q29" s="128" t="s">
        <v>76</v>
      </c>
      <c r="R29" s="128">
        <v>46022</v>
      </c>
      <c r="S29" s="128" t="s">
        <v>98</v>
      </c>
      <c r="T29" s="137">
        <v>45838</v>
      </c>
      <c r="U29" s="129">
        <v>45622</v>
      </c>
      <c r="V29" s="124" t="s">
        <v>89</v>
      </c>
      <c r="W29" s="131">
        <v>46022</v>
      </c>
      <c r="X29" s="132"/>
      <c r="Y29" s="126"/>
      <c r="Z29" s="124"/>
      <c r="AA29" s="124"/>
      <c r="AB29" s="124"/>
      <c r="AC29" s="124"/>
      <c r="AD29" s="133"/>
      <c r="AE29" s="133"/>
      <c r="AF29" s="125"/>
      <c r="AG29" s="125">
        <v>50</v>
      </c>
      <c r="AH29" s="134">
        <v>100</v>
      </c>
      <c r="AI29" s="125"/>
      <c r="AJ29" s="125"/>
      <c r="AK29" s="125"/>
      <c r="AL29" s="125"/>
      <c r="AM29" s="125"/>
      <c r="AN29" s="125"/>
      <c r="AO29" s="125"/>
      <c r="AP29" s="125"/>
      <c r="AQ29" s="135"/>
      <c r="AR29" s="136">
        <f t="shared" si="5"/>
        <v>150</v>
      </c>
    </row>
    <row r="30" spans="1:44" s="3" customFormat="1" ht="18.75" customHeight="1">
      <c r="A30" s="123" t="s">
        <v>102</v>
      </c>
      <c r="B30" s="124" t="s">
        <v>30</v>
      </c>
      <c r="C30" s="124" t="s">
        <v>101</v>
      </c>
      <c r="D30" s="125" t="s">
        <v>56</v>
      </c>
      <c r="E30" s="124" t="s">
        <v>103</v>
      </c>
      <c r="F30" s="124" t="s">
        <v>33</v>
      </c>
      <c r="G30" s="126" t="s">
        <v>33</v>
      </c>
      <c r="H30" s="125" t="s">
        <v>34</v>
      </c>
      <c r="I30" s="125" t="s">
        <v>74</v>
      </c>
      <c r="J30" s="125">
        <v>580</v>
      </c>
      <c r="K30" s="125">
        <f t="shared" si="3"/>
        <v>150</v>
      </c>
      <c r="L30" s="125">
        <v>1.35</v>
      </c>
      <c r="M30" s="127">
        <f t="shared" si="4"/>
        <v>202.5</v>
      </c>
      <c r="N30" s="127">
        <v>12</v>
      </c>
      <c r="O30" s="125" t="s">
        <v>53</v>
      </c>
      <c r="P30" s="128" t="str">
        <f>P9</f>
        <v>Charged</v>
      </c>
      <c r="Q30" s="128" t="s">
        <v>76</v>
      </c>
      <c r="R30" s="128"/>
      <c r="S30" s="129" t="s">
        <v>54</v>
      </c>
      <c r="T30" s="130">
        <v>45838</v>
      </c>
      <c r="U30" s="129"/>
      <c r="V30" s="124"/>
      <c r="W30" s="131"/>
      <c r="X30" s="132"/>
      <c r="Y30" s="126"/>
      <c r="Z30" s="124"/>
      <c r="AA30" s="124"/>
      <c r="AB30" s="124"/>
      <c r="AC30" s="124"/>
      <c r="AD30" s="133"/>
      <c r="AE30" s="133"/>
      <c r="AF30" s="125"/>
      <c r="AG30" s="125"/>
      <c r="AH30" s="134"/>
      <c r="AI30" s="125"/>
      <c r="AJ30" s="125"/>
      <c r="AK30" s="125"/>
      <c r="AL30" s="125"/>
      <c r="AM30" s="125">
        <v>150</v>
      </c>
      <c r="AN30" s="125"/>
      <c r="AO30" s="125"/>
      <c r="AP30" s="125"/>
      <c r="AQ30" s="135"/>
      <c r="AR30" s="136">
        <f t="shared" si="5"/>
        <v>150</v>
      </c>
    </row>
    <row r="31" spans="1:44" s="3" customFormat="1" ht="18.75" customHeight="1">
      <c r="A31" s="123" t="s">
        <v>104</v>
      </c>
      <c r="B31" s="124" t="s">
        <v>105</v>
      </c>
      <c r="C31" s="124" t="s">
        <v>106</v>
      </c>
      <c r="D31" s="125" t="s">
        <v>107</v>
      </c>
      <c r="E31" s="124" t="s">
        <v>108</v>
      </c>
      <c r="F31" s="124" t="s">
        <v>105</v>
      </c>
      <c r="G31" s="124" t="s">
        <v>62</v>
      </c>
      <c r="H31" s="125" t="s">
        <v>52</v>
      </c>
      <c r="I31" s="125" t="s">
        <v>74</v>
      </c>
      <c r="J31" s="125">
        <v>580</v>
      </c>
      <c r="K31" s="125">
        <f t="shared" si="3"/>
        <v>125</v>
      </c>
      <c r="L31" s="125">
        <v>1.36</v>
      </c>
      <c r="M31" s="127">
        <f t="shared" si="4"/>
        <v>170</v>
      </c>
      <c r="N31" s="127">
        <v>10</v>
      </c>
      <c r="O31" s="125" t="s">
        <v>39</v>
      </c>
      <c r="P31" s="128" t="str">
        <f>P5</f>
        <v>Charged</v>
      </c>
      <c r="Q31" s="128" t="s">
        <v>76</v>
      </c>
      <c r="R31" s="128">
        <v>45838</v>
      </c>
      <c r="S31" s="129" t="s">
        <v>109</v>
      </c>
      <c r="T31" s="130">
        <v>45838</v>
      </c>
      <c r="U31" s="129">
        <v>45615</v>
      </c>
      <c r="V31" s="124" t="s">
        <v>78</v>
      </c>
      <c r="W31" s="131">
        <v>45747</v>
      </c>
      <c r="X31" s="132"/>
      <c r="Y31" s="126"/>
      <c r="Z31" s="124"/>
      <c r="AA31" s="124"/>
      <c r="AB31" s="124"/>
      <c r="AC31" s="124"/>
      <c r="AD31" s="133"/>
      <c r="AE31" s="133"/>
      <c r="AF31" s="125"/>
      <c r="AG31" s="125"/>
      <c r="AH31" s="134">
        <v>125</v>
      </c>
      <c r="AI31" s="125"/>
      <c r="AJ31" s="125"/>
      <c r="AK31" s="125"/>
      <c r="AL31" s="125"/>
      <c r="AM31" s="125"/>
      <c r="AN31" s="125"/>
      <c r="AO31" s="125"/>
      <c r="AP31" s="125"/>
      <c r="AQ31" s="135"/>
      <c r="AR31" s="136">
        <f t="shared" si="5"/>
        <v>125</v>
      </c>
    </row>
    <row r="32" spans="1:44" s="84" customFormat="1" ht="18.75" customHeight="1">
      <c r="A32" s="153" t="s">
        <v>110</v>
      </c>
      <c r="B32" s="154" t="s">
        <v>57</v>
      </c>
      <c r="C32" s="154" t="s">
        <v>111</v>
      </c>
      <c r="D32" s="155" t="s">
        <v>71</v>
      </c>
      <c r="E32" s="154" t="s">
        <v>112</v>
      </c>
      <c r="F32" s="154" t="s">
        <v>44</v>
      </c>
      <c r="G32" s="156" t="s">
        <v>44</v>
      </c>
      <c r="H32" s="155" t="s">
        <v>34</v>
      </c>
      <c r="I32" s="155" t="s">
        <v>113</v>
      </c>
      <c r="J32" s="155"/>
      <c r="K32" s="155">
        <f t="shared" si="3"/>
        <v>75</v>
      </c>
      <c r="L32" s="155">
        <v>1.35</v>
      </c>
      <c r="M32" s="157">
        <f t="shared" si="4"/>
        <v>101.25</v>
      </c>
      <c r="N32" s="157">
        <v>6</v>
      </c>
      <c r="O32" s="155" t="s">
        <v>75</v>
      </c>
      <c r="P32" s="158">
        <f>P24</f>
        <v>45851</v>
      </c>
      <c r="Q32" s="158">
        <v>45966</v>
      </c>
      <c r="R32" s="158"/>
      <c r="S32" s="159"/>
      <c r="T32" s="160">
        <v>45931</v>
      </c>
      <c r="U32" s="159"/>
      <c r="V32" s="154"/>
      <c r="W32" s="161"/>
      <c r="X32" s="162"/>
      <c r="Y32" s="156"/>
      <c r="Z32" s="154"/>
      <c r="AA32" s="154"/>
      <c r="AB32" s="154"/>
      <c r="AC32" s="154"/>
      <c r="AD32" s="163"/>
      <c r="AE32" s="163"/>
      <c r="AF32" s="155"/>
      <c r="AG32" s="155"/>
      <c r="AH32" s="155"/>
      <c r="AI32" s="155"/>
      <c r="AJ32" s="155"/>
      <c r="AK32" s="155"/>
      <c r="AL32" s="155"/>
      <c r="AM32" s="155">
        <v>75</v>
      </c>
      <c r="AN32" s="155"/>
      <c r="AO32" s="155"/>
      <c r="AP32" s="155"/>
      <c r="AQ32" s="164"/>
      <c r="AR32" s="118">
        <f t="shared" si="5"/>
        <v>75</v>
      </c>
    </row>
    <row r="33" spans="1:44" s="3" customFormat="1" ht="18.75" customHeight="1">
      <c r="A33" s="138" t="s">
        <v>114</v>
      </c>
      <c r="B33" s="139" t="s">
        <v>115</v>
      </c>
      <c r="C33" s="139" t="s">
        <v>116</v>
      </c>
      <c r="D33" s="140" t="s">
        <v>117</v>
      </c>
      <c r="E33" s="139" t="s">
        <v>118</v>
      </c>
      <c r="F33" s="139" t="s">
        <v>44</v>
      </c>
      <c r="G33" s="139" t="s">
        <v>44</v>
      </c>
      <c r="H33" s="140" t="s">
        <v>52</v>
      </c>
      <c r="I33" s="140" t="s">
        <v>119</v>
      </c>
      <c r="J33" s="140"/>
      <c r="K33" s="140">
        <f t="shared" si="3"/>
        <v>50</v>
      </c>
      <c r="L33" s="140">
        <v>1.36</v>
      </c>
      <c r="M33" s="141">
        <f t="shared" si="4"/>
        <v>68</v>
      </c>
      <c r="N33" s="142">
        <v>4</v>
      </c>
      <c r="O33" s="140" t="s">
        <v>120</v>
      </c>
      <c r="P33" s="143">
        <v>45976</v>
      </c>
      <c r="Q33" s="144">
        <v>45734</v>
      </c>
      <c r="R33" s="143">
        <v>45930</v>
      </c>
      <c r="S33" s="145"/>
      <c r="T33" s="146">
        <v>45930</v>
      </c>
      <c r="U33" s="145">
        <v>45608</v>
      </c>
      <c r="V33" s="139" t="s">
        <v>121</v>
      </c>
      <c r="W33" s="147">
        <v>45309</v>
      </c>
      <c r="X33" s="148"/>
      <c r="Y33" s="149"/>
      <c r="Z33" s="139"/>
      <c r="AA33" s="139"/>
      <c r="AB33" s="139"/>
      <c r="AC33" s="139"/>
      <c r="AD33" s="150"/>
      <c r="AE33" s="150"/>
      <c r="AF33" s="140"/>
      <c r="AG33" s="140"/>
      <c r="AH33" s="140"/>
      <c r="AI33" s="140"/>
      <c r="AJ33" s="140"/>
      <c r="AK33" s="140">
        <v>50</v>
      </c>
      <c r="AL33" s="140"/>
      <c r="AM33" s="140"/>
      <c r="AN33" s="140"/>
      <c r="AO33" s="140"/>
      <c r="AP33" s="140"/>
      <c r="AQ33" s="151"/>
      <c r="AR33" s="152">
        <f t="shared" si="5"/>
        <v>50</v>
      </c>
    </row>
    <row r="34" spans="1:44" s="3" customFormat="1" ht="18.75" customHeight="1">
      <c r="A34" s="138" t="s">
        <v>122</v>
      </c>
      <c r="B34" s="139" t="s">
        <v>123</v>
      </c>
      <c r="C34" s="139" t="s">
        <v>116</v>
      </c>
      <c r="D34" s="140" t="s">
        <v>117</v>
      </c>
      <c r="E34" s="139" t="s">
        <v>118</v>
      </c>
      <c r="F34" s="139" t="s">
        <v>44</v>
      </c>
      <c r="G34" s="139" t="s">
        <v>44</v>
      </c>
      <c r="H34" s="140" t="s">
        <v>52</v>
      </c>
      <c r="I34" s="140" t="s">
        <v>119</v>
      </c>
      <c r="J34" s="140"/>
      <c r="K34" s="140">
        <f t="shared" si="3"/>
        <v>200</v>
      </c>
      <c r="L34" s="140">
        <v>1.36</v>
      </c>
      <c r="M34" s="141">
        <f t="shared" si="4"/>
        <v>272</v>
      </c>
      <c r="N34" s="142">
        <v>16</v>
      </c>
      <c r="O34" s="140" t="s">
        <v>120</v>
      </c>
      <c r="P34" s="143">
        <f>P33</f>
        <v>45976</v>
      </c>
      <c r="Q34" s="144">
        <v>45734</v>
      </c>
      <c r="R34" s="143">
        <v>45930</v>
      </c>
      <c r="S34" s="145"/>
      <c r="T34" s="146">
        <v>45930</v>
      </c>
      <c r="U34" s="145">
        <v>45608</v>
      </c>
      <c r="V34" s="139" t="s">
        <v>121</v>
      </c>
      <c r="W34" s="147">
        <v>45309</v>
      </c>
      <c r="X34" s="148"/>
      <c r="Y34" s="149"/>
      <c r="Z34" s="139"/>
      <c r="AA34" s="139"/>
      <c r="AB34" s="139"/>
      <c r="AC34" s="139"/>
      <c r="AD34" s="150"/>
      <c r="AE34" s="150"/>
      <c r="AF34" s="140"/>
      <c r="AG34" s="140"/>
      <c r="AH34" s="140"/>
      <c r="AI34" s="140"/>
      <c r="AJ34" s="140"/>
      <c r="AK34" s="140"/>
      <c r="AL34" s="140">
        <v>200</v>
      </c>
      <c r="AM34" s="140"/>
      <c r="AN34" s="140"/>
      <c r="AO34" s="140"/>
      <c r="AP34" s="140"/>
      <c r="AQ34" s="151"/>
      <c r="AR34" s="152">
        <f t="shared" si="5"/>
        <v>200</v>
      </c>
    </row>
    <row r="35" spans="1:44" s="3" customFormat="1" ht="18.75" customHeight="1">
      <c r="A35" s="138" t="s">
        <v>124</v>
      </c>
      <c r="B35" s="139" t="s">
        <v>125</v>
      </c>
      <c r="C35" s="139" t="s">
        <v>116</v>
      </c>
      <c r="D35" s="140" t="s">
        <v>117</v>
      </c>
      <c r="E35" s="139" t="s">
        <v>118</v>
      </c>
      <c r="F35" s="139" t="s">
        <v>44</v>
      </c>
      <c r="G35" s="139" t="s">
        <v>44</v>
      </c>
      <c r="H35" s="140" t="s">
        <v>52</v>
      </c>
      <c r="I35" s="140" t="s">
        <v>119</v>
      </c>
      <c r="J35" s="140"/>
      <c r="K35" s="140">
        <f t="shared" si="3"/>
        <v>167</v>
      </c>
      <c r="L35" s="140">
        <v>1.36</v>
      </c>
      <c r="M35" s="141">
        <f t="shared" si="4"/>
        <v>227.12</v>
      </c>
      <c r="N35" s="142">
        <v>14</v>
      </c>
      <c r="O35" s="140" t="s">
        <v>120</v>
      </c>
      <c r="P35" s="143">
        <f>P34</f>
        <v>45976</v>
      </c>
      <c r="Q35" s="144">
        <v>45734</v>
      </c>
      <c r="R35" s="143">
        <v>45930</v>
      </c>
      <c r="S35" s="145"/>
      <c r="T35" s="146">
        <v>45930</v>
      </c>
      <c r="U35" s="145">
        <v>45608</v>
      </c>
      <c r="V35" s="139" t="s">
        <v>121</v>
      </c>
      <c r="W35" s="147">
        <v>45309</v>
      </c>
      <c r="X35" s="148"/>
      <c r="Y35" s="149"/>
      <c r="Z35" s="139"/>
      <c r="AA35" s="139"/>
      <c r="AB35" s="139"/>
      <c r="AC35" s="139"/>
      <c r="AD35" s="150"/>
      <c r="AE35" s="150"/>
      <c r="AF35" s="140"/>
      <c r="AG35" s="140"/>
      <c r="AH35" s="140"/>
      <c r="AI35" s="140"/>
      <c r="AJ35" s="140"/>
      <c r="AK35" s="140"/>
      <c r="AL35" s="140">
        <v>167</v>
      </c>
      <c r="AM35" s="140"/>
      <c r="AN35" s="140"/>
      <c r="AO35" s="140"/>
      <c r="AP35" s="140"/>
      <c r="AQ35" s="151"/>
      <c r="AR35" s="152">
        <f t="shared" si="5"/>
        <v>167</v>
      </c>
    </row>
    <row r="36" spans="1:44" s="3" customFormat="1" ht="18.75" customHeight="1">
      <c r="A36" s="138" t="s">
        <v>126</v>
      </c>
      <c r="B36" s="139" t="s">
        <v>127</v>
      </c>
      <c r="C36" s="139" t="s">
        <v>116</v>
      </c>
      <c r="D36" s="140" t="s">
        <v>117</v>
      </c>
      <c r="E36" s="139" t="s">
        <v>118</v>
      </c>
      <c r="F36" s="139" t="s">
        <v>44</v>
      </c>
      <c r="G36" s="139" t="s">
        <v>44</v>
      </c>
      <c r="H36" s="140" t="s">
        <v>52</v>
      </c>
      <c r="I36" s="140" t="s">
        <v>119</v>
      </c>
      <c r="J36" s="140"/>
      <c r="K36" s="140">
        <f t="shared" si="3"/>
        <v>333</v>
      </c>
      <c r="L36" s="140">
        <v>1.36</v>
      </c>
      <c r="M36" s="141">
        <f t="shared" si="4"/>
        <v>452.88000000000005</v>
      </c>
      <c r="N36" s="142">
        <v>27</v>
      </c>
      <c r="O36" s="140" t="s">
        <v>120</v>
      </c>
      <c r="P36" s="143">
        <v>46014</v>
      </c>
      <c r="Q36" s="144">
        <v>45734</v>
      </c>
      <c r="R36" s="143">
        <v>45930</v>
      </c>
      <c r="S36" s="145"/>
      <c r="T36" s="146">
        <v>45930</v>
      </c>
      <c r="U36" s="145">
        <v>45608</v>
      </c>
      <c r="V36" s="139" t="s">
        <v>121</v>
      </c>
      <c r="W36" s="147">
        <v>45309</v>
      </c>
      <c r="X36" s="148"/>
      <c r="Y36" s="149"/>
      <c r="Z36" s="139"/>
      <c r="AA36" s="139"/>
      <c r="AB36" s="139"/>
      <c r="AC36" s="139"/>
      <c r="AD36" s="150"/>
      <c r="AE36" s="150"/>
      <c r="AF36" s="140"/>
      <c r="AG36" s="140"/>
      <c r="AH36" s="140"/>
      <c r="AI36" s="140"/>
      <c r="AJ36" s="141"/>
      <c r="AK36" s="141">
        <v>333</v>
      </c>
      <c r="AL36" s="140"/>
      <c r="AM36" s="140"/>
      <c r="AN36" s="140"/>
      <c r="AO36" s="140"/>
      <c r="AP36" s="140"/>
      <c r="AQ36" s="151"/>
      <c r="AR36" s="152">
        <f t="shared" si="5"/>
        <v>333</v>
      </c>
    </row>
    <row r="37" spans="1:44" s="3" customFormat="1" ht="18.75" customHeight="1">
      <c r="A37" s="138" t="s">
        <v>128</v>
      </c>
      <c r="B37" s="139" t="s">
        <v>129</v>
      </c>
      <c r="C37" s="139" t="s">
        <v>116</v>
      </c>
      <c r="D37" s="140" t="s">
        <v>130</v>
      </c>
      <c r="E37" s="139" t="s">
        <v>131</v>
      </c>
      <c r="F37" s="139" t="s">
        <v>44</v>
      </c>
      <c r="G37" s="139" t="s">
        <v>44</v>
      </c>
      <c r="H37" s="140" t="s">
        <v>52</v>
      </c>
      <c r="I37" s="140" t="s">
        <v>119</v>
      </c>
      <c r="J37" s="140"/>
      <c r="K37" s="140">
        <f t="shared" si="3"/>
        <v>50</v>
      </c>
      <c r="L37" s="140">
        <v>1.36</v>
      </c>
      <c r="M37" s="141">
        <f t="shared" si="4"/>
        <v>68</v>
      </c>
      <c r="N37" s="142">
        <v>4</v>
      </c>
      <c r="O37" s="140" t="s">
        <v>132</v>
      </c>
      <c r="P37" s="143" t="s">
        <v>36</v>
      </c>
      <c r="Q37" s="144">
        <v>45561</v>
      </c>
      <c r="R37" s="143">
        <v>45838</v>
      </c>
      <c r="S37" s="145"/>
      <c r="T37" s="146">
        <v>45930</v>
      </c>
      <c r="U37" s="145">
        <v>45608</v>
      </c>
      <c r="V37" s="139" t="s">
        <v>78</v>
      </c>
      <c r="W37" s="147">
        <v>45747</v>
      </c>
      <c r="X37" s="148"/>
      <c r="Y37" s="149"/>
      <c r="Z37" s="139"/>
      <c r="AA37" s="139"/>
      <c r="AB37" s="139"/>
      <c r="AC37" s="139"/>
      <c r="AD37" s="150"/>
      <c r="AE37" s="150"/>
      <c r="AF37" s="140"/>
      <c r="AG37" s="140"/>
      <c r="AH37" s="140"/>
      <c r="AI37" s="140"/>
      <c r="AJ37" s="140"/>
      <c r="AK37" s="140">
        <v>50</v>
      </c>
      <c r="AL37" s="140"/>
      <c r="AM37" s="140"/>
      <c r="AN37" s="140"/>
      <c r="AO37" s="140"/>
      <c r="AP37" s="140"/>
      <c r="AQ37" s="151"/>
      <c r="AR37" s="152">
        <f t="shared" si="5"/>
        <v>50</v>
      </c>
    </row>
    <row r="38" spans="1:44" s="3" customFormat="1" ht="18.75" customHeight="1">
      <c r="A38" s="138" t="s">
        <v>133</v>
      </c>
      <c r="B38" s="139" t="s">
        <v>57</v>
      </c>
      <c r="C38" s="139" t="s">
        <v>111</v>
      </c>
      <c r="D38" s="155" t="s">
        <v>71</v>
      </c>
      <c r="E38" s="139" t="s">
        <v>112</v>
      </c>
      <c r="F38" s="139" t="s">
        <v>44</v>
      </c>
      <c r="G38" s="149" t="s">
        <v>44</v>
      </c>
      <c r="H38" s="140" t="s">
        <v>52</v>
      </c>
      <c r="I38" s="140" t="s">
        <v>113</v>
      </c>
      <c r="J38" s="140"/>
      <c r="K38" s="140">
        <f t="shared" ref="K38" si="9">SUM(AF38:AQ38)</f>
        <v>425</v>
      </c>
      <c r="L38" s="140">
        <v>1.36</v>
      </c>
      <c r="M38" s="141">
        <f t="shared" ref="M38:M43" si="10">L38*K38</f>
        <v>578</v>
      </c>
      <c r="N38" s="141">
        <v>34</v>
      </c>
      <c r="O38" s="140" t="s">
        <v>75</v>
      </c>
      <c r="P38" s="143">
        <f>P19</f>
        <v>0</v>
      </c>
      <c r="Q38" s="144"/>
      <c r="R38" s="143"/>
      <c r="S38" s="145"/>
      <c r="T38" s="146"/>
      <c r="U38" s="145"/>
      <c r="V38" s="139"/>
      <c r="W38" s="147"/>
      <c r="X38" s="148"/>
      <c r="Y38" s="149"/>
      <c r="Z38" s="139"/>
      <c r="AA38" s="139"/>
      <c r="AB38" s="139"/>
      <c r="AC38" s="139"/>
      <c r="AD38" s="150"/>
      <c r="AE38" s="150"/>
      <c r="AF38" s="140"/>
      <c r="AG38" s="140"/>
      <c r="AH38" s="140"/>
      <c r="AI38" s="140"/>
      <c r="AJ38" s="140"/>
      <c r="AK38" s="140"/>
      <c r="AL38" s="140"/>
      <c r="AM38" s="140"/>
      <c r="AN38" s="140">
        <v>425</v>
      </c>
      <c r="AO38" s="140"/>
      <c r="AP38" s="140"/>
      <c r="AQ38" s="151"/>
      <c r="AR38" s="152">
        <f t="shared" si="5"/>
        <v>425</v>
      </c>
    </row>
    <row r="39" spans="1:44" s="3" customFormat="1" ht="18.75" customHeight="1">
      <c r="A39" s="9" t="s">
        <v>134</v>
      </c>
      <c r="B39" s="16" t="s">
        <v>84</v>
      </c>
      <c r="C39" s="16" t="s">
        <v>50</v>
      </c>
      <c r="D39" s="7" t="s">
        <v>135</v>
      </c>
      <c r="E39" s="16" t="s">
        <v>33</v>
      </c>
      <c r="F39" s="16" t="s">
        <v>33</v>
      </c>
      <c r="G39" s="16" t="s">
        <v>33</v>
      </c>
      <c r="H39" s="7" t="s">
        <v>34</v>
      </c>
      <c r="I39" s="7"/>
      <c r="J39" s="7"/>
      <c r="K39" s="7">
        <v>300</v>
      </c>
      <c r="L39" s="7">
        <v>1.35</v>
      </c>
      <c r="M39" s="5">
        <f t="shared" si="10"/>
        <v>405</v>
      </c>
      <c r="N39" s="7" t="s">
        <v>136</v>
      </c>
      <c r="O39" s="140"/>
      <c r="P39" s="143"/>
      <c r="Q39" s="144"/>
      <c r="R39" s="143"/>
      <c r="S39" s="145"/>
      <c r="T39" s="146"/>
      <c r="U39" s="145"/>
      <c r="V39" s="139"/>
      <c r="W39" s="147"/>
      <c r="X39" s="148"/>
      <c r="Y39" s="149"/>
      <c r="Z39" s="139"/>
      <c r="AA39" s="139"/>
      <c r="AB39" s="139"/>
      <c r="AC39" s="139"/>
      <c r="AD39" s="150"/>
      <c r="AE39" s="150"/>
      <c r="AF39" s="140"/>
      <c r="AG39" s="140"/>
      <c r="AH39" s="140"/>
      <c r="AI39" s="140"/>
      <c r="AJ39" s="140"/>
      <c r="AK39" s="140"/>
      <c r="AL39" s="140"/>
      <c r="AM39" s="140"/>
      <c r="AN39" s="140">
        <v>100</v>
      </c>
      <c r="AO39" s="140">
        <v>100</v>
      </c>
      <c r="AP39" s="140">
        <v>100</v>
      </c>
      <c r="AQ39" s="151"/>
      <c r="AR39" s="152">
        <f t="shared" si="5"/>
        <v>300</v>
      </c>
    </row>
    <row r="40" spans="1:44" s="3" customFormat="1" ht="18.75" customHeight="1">
      <c r="A40" s="9" t="s">
        <v>137</v>
      </c>
      <c r="B40" s="16">
        <f>B14</f>
        <v>0</v>
      </c>
      <c r="C40" s="16">
        <f>C14</f>
        <v>0</v>
      </c>
      <c r="D40" s="7">
        <f>D14</f>
        <v>0</v>
      </c>
      <c r="E40" s="16" t="s">
        <v>44</v>
      </c>
      <c r="F40" s="16" t="s">
        <v>44</v>
      </c>
      <c r="G40" s="16" t="s">
        <v>44</v>
      </c>
      <c r="H40" s="7" t="s">
        <v>34</v>
      </c>
      <c r="I40" s="7"/>
      <c r="J40" s="7"/>
      <c r="K40" s="7">
        <v>350</v>
      </c>
      <c r="L40" s="7">
        <v>1.35</v>
      </c>
      <c r="M40" s="5">
        <f t="shared" si="10"/>
        <v>472.50000000000006</v>
      </c>
      <c r="N40" s="7">
        <f>N14</f>
        <v>0</v>
      </c>
      <c r="O40" s="140"/>
      <c r="P40" s="143"/>
      <c r="Q40" s="144"/>
      <c r="R40" s="143"/>
      <c r="S40" s="145"/>
      <c r="T40" s="146"/>
      <c r="U40" s="145"/>
      <c r="V40" s="139"/>
      <c r="W40" s="147"/>
      <c r="X40" s="148"/>
      <c r="Y40" s="149"/>
      <c r="Z40" s="139"/>
      <c r="AA40" s="139"/>
      <c r="AB40" s="139"/>
      <c r="AC40" s="139"/>
      <c r="AD40" s="150"/>
      <c r="AE40" s="15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>
        <v>150</v>
      </c>
      <c r="AP40" s="140">
        <v>200</v>
      </c>
      <c r="AQ40" s="151"/>
      <c r="AR40" s="152">
        <f t="shared" si="5"/>
        <v>350</v>
      </c>
    </row>
    <row r="41" spans="1:44" s="3" customFormat="1" ht="18.75" customHeight="1">
      <c r="A41" s="9" t="s">
        <v>138</v>
      </c>
      <c r="B41" s="16" t="s">
        <v>139</v>
      </c>
      <c r="C41" s="16" t="s">
        <v>139</v>
      </c>
      <c r="D41" s="7" t="s">
        <v>91</v>
      </c>
      <c r="E41" s="16" t="s">
        <v>62</v>
      </c>
      <c r="F41" s="16" t="s">
        <v>140</v>
      </c>
      <c r="G41" s="16" t="s">
        <v>62</v>
      </c>
      <c r="H41" s="7" t="s">
        <v>34</v>
      </c>
      <c r="I41" s="7"/>
      <c r="J41" s="7"/>
      <c r="K41" s="7">
        <v>12.5</v>
      </c>
      <c r="L41" s="7">
        <v>1.35</v>
      </c>
      <c r="M41" s="5">
        <f t="shared" si="10"/>
        <v>16.875</v>
      </c>
      <c r="N41" s="7" t="s">
        <v>75</v>
      </c>
      <c r="O41" s="140"/>
      <c r="P41" s="143"/>
      <c r="Q41" s="144"/>
      <c r="R41" s="143"/>
      <c r="S41" s="145"/>
      <c r="T41" s="146"/>
      <c r="U41" s="145"/>
      <c r="V41" s="139"/>
      <c r="W41" s="147"/>
      <c r="X41" s="148"/>
      <c r="Y41" s="149"/>
      <c r="Z41" s="139"/>
      <c r="AA41" s="139"/>
      <c r="AB41" s="139"/>
      <c r="AC41" s="139"/>
      <c r="AD41" s="150"/>
      <c r="AE41" s="15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51"/>
      <c r="AR41" s="152">
        <f t="shared" si="5"/>
        <v>0</v>
      </c>
    </row>
    <row r="42" spans="1:44" s="3" customFormat="1" ht="18.75" customHeight="1">
      <c r="A42" s="9" t="s">
        <v>141</v>
      </c>
      <c r="B42" s="16" t="s">
        <v>142</v>
      </c>
      <c r="C42" s="16" t="s">
        <v>142</v>
      </c>
      <c r="D42" s="7" t="s">
        <v>91</v>
      </c>
      <c r="E42" s="16" t="s">
        <v>62</v>
      </c>
      <c r="F42" s="16" t="s">
        <v>140</v>
      </c>
      <c r="G42" s="16" t="s">
        <v>62</v>
      </c>
      <c r="H42" s="7" t="s">
        <v>34</v>
      </c>
      <c r="I42" s="7"/>
      <c r="J42" s="7"/>
      <c r="K42" s="7">
        <v>12.5</v>
      </c>
      <c r="L42" s="7">
        <v>1.35</v>
      </c>
      <c r="M42" s="5">
        <f t="shared" si="10"/>
        <v>16.875</v>
      </c>
      <c r="N42" s="7" t="s">
        <v>75</v>
      </c>
      <c r="O42" s="140"/>
      <c r="P42" s="143"/>
      <c r="Q42" s="144"/>
      <c r="R42" s="143"/>
      <c r="S42" s="145"/>
      <c r="T42" s="146"/>
      <c r="U42" s="145"/>
      <c r="V42" s="139"/>
      <c r="W42" s="147"/>
      <c r="X42" s="148"/>
      <c r="Y42" s="149"/>
      <c r="Z42" s="139"/>
      <c r="AA42" s="139"/>
      <c r="AB42" s="139"/>
      <c r="AC42" s="139"/>
      <c r="AD42" s="150"/>
      <c r="AE42" s="15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51"/>
      <c r="AR42" s="152">
        <f t="shared" si="5"/>
        <v>0</v>
      </c>
    </row>
    <row r="43" spans="1:44" s="3" customFormat="1" ht="18.75" customHeight="1">
      <c r="A43" s="9" t="s">
        <v>143</v>
      </c>
      <c r="B43" s="16" t="s">
        <v>30</v>
      </c>
      <c r="C43" s="16" t="s">
        <v>144</v>
      </c>
      <c r="D43" s="7" t="s">
        <v>91</v>
      </c>
      <c r="E43" s="16" t="s">
        <v>33</v>
      </c>
      <c r="F43" s="16" t="s">
        <v>33</v>
      </c>
      <c r="G43" s="16" t="s">
        <v>33</v>
      </c>
      <c r="H43" s="7" t="s">
        <v>34</v>
      </c>
      <c r="I43" s="7"/>
      <c r="J43" s="7"/>
      <c r="K43" s="7">
        <v>25</v>
      </c>
      <c r="L43" s="7">
        <v>1.35</v>
      </c>
      <c r="M43" s="5">
        <f t="shared" si="10"/>
        <v>33.75</v>
      </c>
      <c r="N43" s="7" t="s">
        <v>75</v>
      </c>
      <c r="O43" s="140"/>
      <c r="P43" s="143"/>
      <c r="Q43" s="143">
        <v>45966</v>
      </c>
      <c r="R43" s="143"/>
      <c r="S43" s="145"/>
      <c r="T43" s="146">
        <v>45931</v>
      </c>
      <c r="U43" s="145"/>
      <c r="V43" s="139"/>
      <c r="W43" s="147"/>
      <c r="X43" s="148"/>
      <c r="Y43" s="149"/>
      <c r="Z43" s="139"/>
      <c r="AA43" s="139"/>
      <c r="AB43" s="139"/>
      <c r="AC43" s="139"/>
      <c r="AD43" s="150"/>
      <c r="AE43" s="15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51"/>
      <c r="AR43" s="118">
        <f t="shared" si="5"/>
        <v>0</v>
      </c>
    </row>
    <row r="44" spans="1:44" s="11" customFormat="1" ht="17.25" customHeight="1">
      <c r="A44" s="571" t="s">
        <v>145</v>
      </c>
      <c r="B44" s="571"/>
      <c r="C44" s="571"/>
      <c r="D44" s="571"/>
      <c r="E44" s="571"/>
      <c r="F44" s="571"/>
      <c r="G44" s="571"/>
      <c r="H44" s="571"/>
      <c r="I44" s="29"/>
      <c r="J44" s="29"/>
      <c r="K44" s="31">
        <f>SUM(K23:K43)</f>
        <v>3027</v>
      </c>
      <c r="L44" s="29"/>
      <c r="M44" s="31">
        <f>SUM(M23:M43)</f>
        <v>4099.9500000000007</v>
      </c>
      <c r="N44" s="31"/>
      <c r="O44" s="29"/>
      <c r="P44" s="30"/>
      <c r="Q44" s="30"/>
      <c r="R44" s="30"/>
      <c r="S44" s="165"/>
      <c r="T44" s="165"/>
      <c r="U44" s="30"/>
      <c r="V44" s="30"/>
      <c r="W44" s="30"/>
      <c r="X44" s="30"/>
      <c r="Y44" s="29"/>
      <c r="Z44" s="29"/>
      <c r="AA44" s="29"/>
      <c r="AB44" s="29"/>
      <c r="AC44" s="29"/>
      <c r="AD44" s="29"/>
      <c r="AE44" s="29"/>
      <c r="AF44" s="29">
        <f t="shared" ref="AF44:AQ44" si="11">SUM(AF23:AF43)</f>
        <v>0</v>
      </c>
      <c r="AG44" s="29">
        <f t="shared" si="11"/>
        <v>150</v>
      </c>
      <c r="AH44" s="29">
        <f t="shared" si="11"/>
        <v>477</v>
      </c>
      <c r="AI44" s="29">
        <f t="shared" si="11"/>
        <v>0</v>
      </c>
      <c r="AJ44" s="29">
        <f t="shared" si="11"/>
        <v>0</v>
      </c>
      <c r="AK44" s="29">
        <f t="shared" si="11"/>
        <v>433</v>
      </c>
      <c r="AL44" s="29">
        <f t="shared" si="11"/>
        <v>367</v>
      </c>
      <c r="AM44" s="29">
        <f t="shared" si="11"/>
        <v>275</v>
      </c>
      <c r="AN44" s="29">
        <f t="shared" si="11"/>
        <v>525</v>
      </c>
      <c r="AO44" s="29">
        <f t="shared" si="11"/>
        <v>450</v>
      </c>
      <c r="AP44" s="29">
        <f t="shared" si="11"/>
        <v>300</v>
      </c>
      <c r="AQ44" s="29">
        <f t="shared" si="11"/>
        <v>0</v>
      </c>
      <c r="AR44" s="29">
        <f t="shared" si="5"/>
        <v>2977</v>
      </c>
    </row>
    <row r="45" spans="1:44" ht="18" customHeight="1">
      <c r="A45" s="90"/>
      <c r="B45" s="90"/>
      <c r="C45" s="90"/>
      <c r="D45" s="90"/>
      <c r="E45" s="90"/>
      <c r="F45" s="90"/>
      <c r="G45" s="90"/>
      <c r="H45" s="90"/>
      <c r="K45" s="81"/>
      <c r="L45" s="11"/>
      <c r="M45" s="81"/>
      <c r="N45" s="81"/>
      <c r="O45" s="11"/>
      <c r="P45" s="86"/>
      <c r="T45" s="86"/>
      <c r="V45" s="166"/>
      <c r="W45" s="166"/>
      <c r="X45" s="166"/>
      <c r="Y45" s="167"/>
      <c r="Z45" s="167"/>
      <c r="AA45" s="167"/>
      <c r="AB45" s="167"/>
      <c r="AC45" s="167"/>
      <c r="AD45" s="167"/>
      <c r="AE45" s="167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87"/>
      <c r="AR45" s="87"/>
    </row>
    <row r="46" spans="1:44" ht="18" customHeight="1">
      <c r="A46" s="572" t="s">
        <v>146</v>
      </c>
      <c r="B46" s="573"/>
      <c r="C46" s="573"/>
      <c r="D46" s="573"/>
      <c r="E46" s="573"/>
      <c r="F46" s="573"/>
      <c r="G46" s="573"/>
      <c r="H46" s="574"/>
      <c r="K46" s="114">
        <f>K44+K11</f>
        <v>7072</v>
      </c>
      <c r="L46" s="168"/>
      <c r="M46" s="114">
        <f>M44+M11</f>
        <v>7934.2000000000007</v>
      </c>
      <c r="N46" s="81"/>
      <c r="O46" s="168"/>
      <c r="P46" s="30"/>
      <c r="T46" s="86"/>
      <c r="V46" s="166"/>
      <c r="W46" s="166"/>
      <c r="X46" s="166"/>
      <c r="Y46" s="167"/>
      <c r="Z46" s="167"/>
      <c r="AA46" s="167"/>
      <c r="AB46" s="167"/>
      <c r="AC46" s="167"/>
      <c r="AD46" s="167"/>
      <c r="AE46" s="167"/>
      <c r="AF46" s="31">
        <f t="shared" ref="AF46:AR46" si="12">AF44+AF11</f>
        <v>932.5</v>
      </c>
      <c r="AG46" s="31">
        <f t="shared" si="12"/>
        <v>350</v>
      </c>
      <c r="AH46" s="31">
        <f t="shared" si="12"/>
        <v>952</v>
      </c>
      <c r="AI46" s="31">
        <f t="shared" si="12"/>
        <v>550</v>
      </c>
      <c r="AJ46" s="31">
        <f t="shared" si="12"/>
        <v>0</v>
      </c>
      <c r="AK46" s="31">
        <f t="shared" si="12"/>
        <v>433</v>
      </c>
      <c r="AL46" s="31">
        <f t="shared" si="12"/>
        <v>367</v>
      </c>
      <c r="AM46" s="31">
        <f t="shared" si="12"/>
        <v>275</v>
      </c>
      <c r="AN46" s="31">
        <f t="shared" si="12"/>
        <v>525</v>
      </c>
      <c r="AO46" s="31">
        <f t="shared" si="12"/>
        <v>450</v>
      </c>
      <c r="AP46" s="31">
        <f t="shared" si="12"/>
        <v>300</v>
      </c>
      <c r="AQ46" s="31">
        <f t="shared" si="12"/>
        <v>0</v>
      </c>
      <c r="AR46" s="31">
        <f t="shared" si="12"/>
        <v>5134.5</v>
      </c>
    </row>
    <row r="47" spans="1:44" ht="18" customHeight="1">
      <c r="A47" s="571" t="s">
        <v>147</v>
      </c>
      <c r="B47" s="571"/>
      <c r="C47" s="571"/>
      <c r="D47" s="571"/>
      <c r="E47" s="571"/>
      <c r="F47" s="571"/>
      <c r="G47" s="571"/>
      <c r="H47" s="571"/>
      <c r="I47" s="38"/>
      <c r="J47" s="38"/>
      <c r="K47" s="575">
        <f>K46</f>
        <v>7072</v>
      </c>
      <c r="L47" s="579"/>
      <c r="M47" s="580">
        <f>M46</f>
        <v>7934.2000000000007</v>
      </c>
      <c r="N47" s="31"/>
      <c r="O47" s="579"/>
      <c r="P47" s="581"/>
      <c r="T47" s="86"/>
      <c r="V47" s="166"/>
      <c r="W47" s="166"/>
      <c r="X47" s="166"/>
      <c r="Y47" s="167"/>
      <c r="Z47" s="167"/>
      <c r="AA47" s="167"/>
      <c r="AB47" s="167"/>
      <c r="AC47" s="167"/>
      <c r="AD47" s="167"/>
      <c r="AE47" s="167"/>
      <c r="AF47" s="580">
        <f>SUM(AF46:AH46)</f>
        <v>2234.5</v>
      </c>
      <c r="AG47" s="579"/>
      <c r="AH47" s="579"/>
      <c r="AI47" s="580">
        <f t="shared" ref="AI47" si="13">SUM(AI46:AK46)</f>
        <v>983</v>
      </c>
      <c r="AJ47" s="579"/>
      <c r="AK47" s="579"/>
      <c r="AL47" s="580">
        <f t="shared" ref="AL47" si="14">SUM(AL46:AN46)</f>
        <v>1167</v>
      </c>
      <c r="AM47" s="579"/>
      <c r="AN47" s="579"/>
      <c r="AO47" s="580">
        <f t="shared" ref="AO47" si="15">SUM(AO46:AQ46)</f>
        <v>750</v>
      </c>
      <c r="AP47" s="579"/>
      <c r="AQ47" s="579"/>
      <c r="AR47" s="29"/>
    </row>
    <row r="48" spans="1:44" ht="18" customHeight="1">
      <c r="A48" s="571"/>
      <c r="B48" s="571"/>
      <c r="C48" s="571"/>
      <c r="D48" s="571"/>
      <c r="E48" s="571"/>
      <c r="F48" s="571"/>
      <c r="G48" s="571"/>
      <c r="H48" s="571"/>
      <c r="I48" s="38"/>
      <c r="J48" s="38"/>
      <c r="K48" s="576"/>
      <c r="L48" s="579"/>
      <c r="M48" s="580"/>
      <c r="N48" s="31"/>
      <c r="O48" s="579"/>
      <c r="P48" s="581"/>
      <c r="T48" s="86"/>
      <c r="V48" s="166"/>
      <c r="W48" s="166"/>
      <c r="X48" s="166"/>
      <c r="Y48" s="167"/>
      <c r="Z48" s="167"/>
      <c r="AA48" s="167"/>
      <c r="AB48" s="167"/>
      <c r="AC48" s="167"/>
      <c r="AD48" s="167"/>
      <c r="AE48" s="167"/>
      <c r="AF48" s="580">
        <f>AF47+AI47+AL47+AO47</f>
        <v>5134.5</v>
      </c>
      <c r="AG48" s="579"/>
      <c r="AH48" s="579"/>
      <c r="AI48" s="579"/>
      <c r="AJ48" s="579"/>
      <c r="AK48" s="579"/>
      <c r="AL48" s="579"/>
      <c r="AM48" s="579"/>
      <c r="AN48" s="579"/>
      <c r="AO48" s="579"/>
      <c r="AP48" s="579"/>
      <c r="AQ48" s="579"/>
      <c r="AR48" s="29"/>
    </row>
    <row r="49" spans="1:46" ht="18.75" customHeight="1">
      <c r="A49" s="3" t="s">
        <v>148</v>
      </c>
      <c r="B49" s="90"/>
      <c r="C49" s="90"/>
      <c r="D49" s="90"/>
      <c r="E49" s="90"/>
      <c r="F49" s="90"/>
      <c r="G49" s="90"/>
      <c r="H49" s="90"/>
      <c r="K49" s="81"/>
      <c r="L49" s="11"/>
      <c r="M49" s="81"/>
      <c r="N49" s="81"/>
      <c r="O49" s="11"/>
      <c r="P49" s="86"/>
      <c r="T49" s="86"/>
      <c r="V49" s="166"/>
      <c r="W49" s="166"/>
      <c r="X49" s="166"/>
      <c r="Y49" s="167"/>
      <c r="Z49" s="167"/>
      <c r="AA49" s="167"/>
      <c r="AB49" s="167"/>
      <c r="AC49" s="167"/>
      <c r="AD49" s="167"/>
      <c r="AE49" s="167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</row>
    <row r="50" spans="1:46" ht="27" hidden="1">
      <c r="K50" s="54"/>
      <c r="P50" s="77" t="s">
        <v>7</v>
      </c>
      <c r="R50" s="77" t="s">
        <v>7</v>
      </c>
      <c r="S50" s="77"/>
      <c r="T50" s="77" t="str">
        <f t="shared" ref="T50:T55" si="16">U50</f>
        <v>Capacity
(MWac)</v>
      </c>
      <c r="U50" s="77" t="s">
        <v>11</v>
      </c>
      <c r="V50" s="166"/>
      <c r="W50" s="166"/>
      <c r="X50" s="166"/>
      <c r="Y50" s="167"/>
      <c r="Z50" s="167"/>
      <c r="AA50" s="167"/>
      <c r="AB50" s="167"/>
      <c r="AC50" s="167"/>
      <c r="AD50" s="167"/>
      <c r="AE50" s="167"/>
      <c r="AF50" s="169">
        <v>45748</v>
      </c>
      <c r="AG50" s="169">
        <v>45778</v>
      </c>
      <c r="AH50" s="169">
        <v>45809</v>
      </c>
      <c r="AI50" s="107">
        <v>45839</v>
      </c>
      <c r="AJ50" s="107">
        <v>45870</v>
      </c>
      <c r="AK50" s="107">
        <v>45901</v>
      </c>
      <c r="AL50" s="107">
        <v>45931</v>
      </c>
      <c r="AM50" s="107">
        <v>45962</v>
      </c>
      <c r="AN50" s="107">
        <v>45992</v>
      </c>
      <c r="AO50" s="107">
        <v>46023</v>
      </c>
      <c r="AP50" s="107">
        <v>46054</v>
      </c>
      <c r="AQ50" s="170">
        <v>46082</v>
      </c>
      <c r="AR50" s="170"/>
    </row>
    <row r="51" spans="1:46" s="3" customFormat="1" ht="18.75" hidden="1" customHeight="1">
      <c r="A51"/>
      <c r="B51"/>
      <c r="L51"/>
      <c r="P51" s="32" t="s">
        <v>33</v>
      </c>
      <c r="R51" s="32" t="s">
        <v>33</v>
      </c>
      <c r="S51" s="59"/>
      <c r="T51" s="59">
        <f t="shared" si="16"/>
        <v>1227</v>
      </c>
      <c r="U51" s="6">
        <f>SUMIF($G$23:$G$43,$R51,K$23:K$43)</f>
        <v>1227</v>
      </c>
      <c r="V51" s="33"/>
      <c r="W51" s="34"/>
      <c r="X51" s="34"/>
      <c r="Y51" s="33"/>
      <c r="Z51" s="33"/>
      <c r="AA51" s="33"/>
      <c r="AB51" s="33"/>
      <c r="AC51" s="33"/>
      <c r="AD51" s="35"/>
      <c r="AE51" s="35"/>
      <c r="AF51" s="6">
        <f t="shared" ref="AF51:AR54" si="17">SUMIF($G$23:$G$43,$R51,AF$23:AF$43)</f>
        <v>0</v>
      </c>
      <c r="AG51" s="6">
        <f t="shared" si="17"/>
        <v>150</v>
      </c>
      <c r="AH51" s="6">
        <f t="shared" si="17"/>
        <v>352</v>
      </c>
      <c r="AI51" s="6">
        <f t="shared" si="17"/>
        <v>0</v>
      </c>
      <c r="AJ51" s="6">
        <f t="shared" si="17"/>
        <v>0</v>
      </c>
      <c r="AK51" s="6">
        <f t="shared" si="17"/>
        <v>0</v>
      </c>
      <c r="AL51" s="6">
        <f t="shared" si="17"/>
        <v>0</v>
      </c>
      <c r="AM51" s="6">
        <f t="shared" si="17"/>
        <v>200</v>
      </c>
      <c r="AN51" s="6">
        <f t="shared" si="17"/>
        <v>100</v>
      </c>
      <c r="AO51" s="6">
        <f t="shared" si="17"/>
        <v>300</v>
      </c>
      <c r="AP51" s="6">
        <f t="shared" si="17"/>
        <v>100</v>
      </c>
      <c r="AQ51" s="6">
        <f t="shared" si="17"/>
        <v>0</v>
      </c>
      <c r="AR51" s="6">
        <f t="shared" si="17"/>
        <v>1202</v>
      </c>
    </row>
    <row r="52" spans="1:46" s="3" customFormat="1" ht="18.75" hidden="1" customHeight="1">
      <c r="A52"/>
      <c r="B52"/>
      <c r="L52"/>
      <c r="P52" s="36" t="s">
        <v>44</v>
      </c>
      <c r="R52" s="36" t="s">
        <v>44</v>
      </c>
      <c r="S52" s="60"/>
      <c r="T52" s="60">
        <f t="shared" si="16"/>
        <v>1650</v>
      </c>
      <c r="U52" s="7">
        <f>SUMIF($G$23:$G$43,$R52,K$23:K$43)</f>
        <v>1650</v>
      </c>
      <c r="V52" s="16"/>
      <c r="W52" s="18"/>
      <c r="X52" s="18"/>
      <c r="Y52" s="16"/>
      <c r="Z52" s="16"/>
      <c r="AA52" s="16"/>
      <c r="AB52" s="16"/>
      <c r="AC52" s="16"/>
      <c r="AD52" s="19"/>
      <c r="AE52" s="19"/>
      <c r="AF52" s="7">
        <f t="shared" si="17"/>
        <v>0</v>
      </c>
      <c r="AG52" s="6">
        <f t="shared" si="17"/>
        <v>0</v>
      </c>
      <c r="AH52" s="6">
        <f t="shared" si="17"/>
        <v>0</v>
      </c>
      <c r="AI52" s="6">
        <f t="shared" si="17"/>
        <v>0</v>
      </c>
      <c r="AJ52" s="6">
        <f t="shared" si="17"/>
        <v>0</v>
      </c>
      <c r="AK52" s="6">
        <f t="shared" si="17"/>
        <v>433</v>
      </c>
      <c r="AL52" s="6">
        <f t="shared" si="17"/>
        <v>367</v>
      </c>
      <c r="AM52" s="6">
        <f t="shared" si="17"/>
        <v>75</v>
      </c>
      <c r="AN52" s="6">
        <f t="shared" si="17"/>
        <v>425</v>
      </c>
      <c r="AO52" s="6">
        <f t="shared" si="17"/>
        <v>150</v>
      </c>
      <c r="AP52" s="6">
        <f t="shared" si="17"/>
        <v>200</v>
      </c>
      <c r="AQ52" s="6">
        <f t="shared" si="17"/>
        <v>0</v>
      </c>
      <c r="AR52" s="7">
        <f t="shared" si="17"/>
        <v>1650</v>
      </c>
    </row>
    <row r="53" spans="1:46" s="3" customFormat="1" ht="18.75" hidden="1" customHeight="1">
      <c r="A53"/>
      <c r="B53"/>
      <c r="L53"/>
      <c r="P53" s="36" t="s">
        <v>62</v>
      </c>
      <c r="R53" s="36" t="s">
        <v>62</v>
      </c>
      <c r="S53" s="60"/>
      <c r="T53" s="60">
        <f t="shared" si="16"/>
        <v>150</v>
      </c>
      <c r="U53" s="7">
        <f>SUMIF($G$23:$G$43,$R53,K$23:K$43)</f>
        <v>150</v>
      </c>
      <c r="V53" s="16"/>
      <c r="W53" s="18"/>
      <c r="X53" s="18"/>
      <c r="Y53" s="16"/>
      <c r="Z53" s="16"/>
      <c r="AA53" s="16"/>
      <c r="AB53" s="16"/>
      <c r="AC53" s="16"/>
      <c r="AD53" s="19"/>
      <c r="AE53" s="19"/>
      <c r="AF53" s="7">
        <f t="shared" si="17"/>
        <v>0</v>
      </c>
      <c r="AG53" s="6">
        <f t="shared" si="17"/>
        <v>0</v>
      </c>
      <c r="AH53" s="6">
        <f t="shared" si="17"/>
        <v>125</v>
      </c>
      <c r="AI53" s="6">
        <f t="shared" si="17"/>
        <v>0</v>
      </c>
      <c r="AJ53" s="6">
        <f t="shared" si="17"/>
        <v>0</v>
      </c>
      <c r="AK53" s="6">
        <f t="shared" si="17"/>
        <v>0</v>
      </c>
      <c r="AL53" s="6">
        <f t="shared" si="17"/>
        <v>0</v>
      </c>
      <c r="AM53" s="6">
        <f t="shared" si="17"/>
        <v>0</v>
      </c>
      <c r="AN53" s="6">
        <f t="shared" si="17"/>
        <v>0</v>
      </c>
      <c r="AO53" s="6">
        <f t="shared" si="17"/>
        <v>0</v>
      </c>
      <c r="AP53" s="6">
        <f t="shared" si="17"/>
        <v>0</v>
      </c>
      <c r="AQ53" s="6">
        <f t="shared" si="17"/>
        <v>0</v>
      </c>
      <c r="AR53" s="7">
        <f t="shared" si="17"/>
        <v>125</v>
      </c>
    </row>
    <row r="54" spans="1:46" s="3" customFormat="1" ht="18.75" hidden="1" customHeight="1">
      <c r="A54"/>
      <c r="B54"/>
      <c r="L54"/>
      <c r="P54" s="37" t="s">
        <v>63</v>
      </c>
      <c r="R54" s="37" t="s">
        <v>63</v>
      </c>
      <c r="S54" s="61"/>
      <c r="T54" s="61">
        <f t="shared" si="16"/>
        <v>0</v>
      </c>
      <c r="U54" s="21">
        <f>SUMIF($G$23:$G$43,$R54,K$23:K$43)</f>
        <v>0</v>
      </c>
      <c r="V54" s="20"/>
      <c r="W54" s="22"/>
      <c r="X54" s="22"/>
      <c r="Y54" s="20"/>
      <c r="Z54" s="20"/>
      <c r="AA54" s="20"/>
      <c r="AB54" s="20"/>
      <c r="AC54" s="20"/>
      <c r="AD54" s="23"/>
      <c r="AE54" s="23"/>
      <c r="AF54" s="21">
        <f t="shared" si="17"/>
        <v>0</v>
      </c>
      <c r="AG54" s="6">
        <f t="shared" si="17"/>
        <v>0</v>
      </c>
      <c r="AH54" s="6">
        <f t="shared" si="17"/>
        <v>0</v>
      </c>
      <c r="AI54" s="6">
        <f t="shared" si="17"/>
        <v>0</v>
      </c>
      <c r="AJ54" s="6">
        <f t="shared" si="17"/>
        <v>0</v>
      </c>
      <c r="AK54" s="6">
        <f t="shared" si="17"/>
        <v>0</v>
      </c>
      <c r="AL54" s="6">
        <f t="shared" si="17"/>
        <v>0</v>
      </c>
      <c r="AM54" s="6">
        <f t="shared" si="17"/>
        <v>0</v>
      </c>
      <c r="AN54" s="6">
        <f t="shared" si="17"/>
        <v>0</v>
      </c>
      <c r="AO54" s="6">
        <f t="shared" si="17"/>
        <v>0</v>
      </c>
      <c r="AP54" s="6">
        <f t="shared" si="17"/>
        <v>0</v>
      </c>
      <c r="AQ54" s="6">
        <f t="shared" si="17"/>
        <v>0</v>
      </c>
      <c r="AR54" s="21">
        <f t="shared" si="17"/>
        <v>0</v>
      </c>
    </row>
    <row r="55" spans="1:46" s="3" customFormat="1" ht="18.75" hidden="1" customHeight="1">
      <c r="A55"/>
      <c r="B55"/>
      <c r="L55"/>
      <c r="P55" s="28" t="s">
        <v>64</v>
      </c>
      <c r="R55" s="28" t="s">
        <v>64</v>
      </c>
      <c r="S55" s="28"/>
      <c r="T55" s="28">
        <f t="shared" si="16"/>
        <v>3027</v>
      </c>
      <c r="U55" s="29">
        <f t="shared" ref="U55:AQ55" si="18">SUM(U51:U54)</f>
        <v>3027</v>
      </c>
      <c r="V55" s="29">
        <f t="shared" si="18"/>
        <v>0</v>
      </c>
      <c r="W55" s="29">
        <f t="shared" si="18"/>
        <v>0</v>
      </c>
      <c r="X55" s="29">
        <f t="shared" si="18"/>
        <v>0</v>
      </c>
      <c r="Y55" s="29">
        <f t="shared" si="18"/>
        <v>0</v>
      </c>
      <c r="Z55" s="29">
        <f t="shared" si="18"/>
        <v>0</v>
      </c>
      <c r="AA55" s="29">
        <f t="shared" si="18"/>
        <v>0</v>
      </c>
      <c r="AB55" s="29">
        <f t="shared" si="18"/>
        <v>0</v>
      </c>
      <c r="AC55" s="29">
        <f t="shared" si="18"/>
        <v>0</v>
      </c>
      <c r="AD55" s="29">
        <f t="shared" si="18"/>
        <v>0</v>
      </c>
      <c r="AE55" s="29">
        <f t="shared" si="18"/>
        <v>0</v>
      </c>
      <c r="AF55" s="29">
        <f t="shared" si="18"/>
        <v>0</v>
      </c>
      <c r="AG55" s="29">
        <f t="shared" si="18"/>
        <v>150</v>
      </c>
      <c r="AH55" s="29">
        <f t="shared" si="18"/>
        <v>477</v>
      </c>
      <c r="AI55" s="29">
        <f t="shared" si="18"/>
        <v>0</v>
      </c>
      <c r="AJ55" s="29">
        <f t="shared" si="18"/>
        <v>0</v>
      </c>
      <c r="AK55" s="29">
        <f t="shared" si="18"/>
        <v>433</v>
      </c>
      <c r="AL55" s="29">
        <f t="shared" si="18"/>
        <v>367</v>
      </c>
      <c r="AM55" s="29">
        <f t="shared" si="18"/>
        <v>275</v>
      </c>
      <c r="AN55" s="29">
        <f t="shared" si="18"/>
        <v>525</v>
      </c>
      <c r="AO55" s="29">
        <f t="shared" si="18"/>
        <v>450</v>
      </c>
      <c r="AP55" s="29">
        <f t="shared" si="18"/>
        <v>300</v>
      </c>
      <c r="AQ55" s="29">
        <f t="shared" si="18"/>
        <v>0</v>
      </c>
      <c r="AR55" s="29"/>
    </row>
    <row r="56" spans="1:46" hidden="1">
      <c r="AF56" s="56">
        <f t="shared" ref="AF56:AQ56" si="19">AF51+AF53</f>
        <v>0</v>
      </c>
      <c r="AG56" s="56">
        <f t="shared" si="19"/>
        <v>150</v>
      </c>
      <c r="AH56" s="56">
        <f t="shared" si="19"/>
        <v>477</v>
      </c>
      <c r="AI56" s="56">
        <f t="shared" si="19"/>
        <v>0</v>
      </c>
      <c r="AJ56" s="56">
        <f t="shared" si="19"/>
        <v>0</v>
      </c>
      <c r="AK56" s="56">
        <f t="shared" si="19"/>
        <v>0</v>
      </c>
      <c r="AL56" s="56">
        <f t="shared" si="19"/>
        <v>0</v>
      </c>
      <c r="AM56" s="56">
        <f t="shared" si="19"/>
        <v>200</v>
      </c>
      <c r="AN56" s="56">
        <f t="shared" si="19"/>
        <v>100</v>
      </c>
      <c r="AO56" s="56">
        <f t="shared" si="19"/>
        <v>300</v>
      </c>
      <c r="AP56" s="56">
        <f t="shared" si="19"/>
        <v>100</v>
      </c>
      <c r="AQ56" s="56">
        <f t="shared" si="19"/>
        <v>0</v>
      </c>
      <c r="AR56" s="56"/>
    </row>
    <row r="57" spans="1:46" s="2" customFormat="1" ht="18.75" hidden="1">
      <c r="A57"/>
      <c r="B57"/>
      <c r="C57"/>
      <c r="D57"/>
      <c r="E57"/>
      <c r="F57" s="63"/>
      <c r="G57" s="63"/>
      <c r="K57"/>
      <c r="L57"/>
      <c r="M57"/>
      <c r="N57"/>
      <c r="O57"/>
      <c r="P57" s="12" t="s">
        <v>149</v>
      </c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6" ht="27" hidden="1">
      <c r="P58" s="25" t="s">
        <v>7</v>
      </c>
      <c r="R58" s="25" t="s">
        <v>7</v>
      </c>
      <c r="S58" s="25"/>
      <c r="T58" s="25" t="str">
        <f>U58</f>
        <v>Capacity
(MWac)</v>
      </c>
      <c r="U58" s="25" t="s">
        <v>11</v>
      </c>
      <c r="V58" s="38"/>
      <c r="W58" s="38"/>
      <c r="X58" s="38"/>
      <c r="Y58" s="39"/>
      <c r="Z58" s="39"/>
      <c r="AA58" s="39"/>
      <c r="AB58" s="39"/>
      <c r="AC58" s="39"/>
      <c r="AD58" s="39"/>
      <c r="AE58" s="39"/>
      <c r="AF58" s="40">
        <v>45748</v>
      </c>
      <c r="AG58" s="40">
        <v>45778</v>
      </c>
      <c r="AH58" s="40">
        <v>45809</v>
      </c>
      <c r="AI58" s="41">
        <v>45839</v>
      </c>
      <c r="AJ58" s="41">
        <v>45870</v>
      </c>
      <c r="AK58" s="41">
        <v>45901</v>
      </c>
      <c r="AL58" s="41">
        <v>45931</v>
      </c>
      <c r="AM58" s="41">
        <v>45962</v>
      </c>
      <c r="AN58" s="41">
        <v>45992</v>
      </c>
      <c r="AO58" s="41">
        <v>46023</v>
      </c>
      <c r="AP58" s="41">
        <v>46054</v>
      </c>
      <c r="AQ58" s="42">
        <v>46082</v>
      </c>
      <c r="AR58" s="42"/>
    </row>
    <row r="59" spans="1:46" ht="19.5" hidden="1" customHeight="1">
      <c r="P59" s="32" t="s">
        <v>33</v>
      </c>
      <c r="R59" s="32" t="s">
        <v>33</v>
      </c>
      <c r="S59" s="32"/>
      <c r="T59" s="119">
        <f>SUM(AF59:AQ59)</f>
        <v>1752</v>
      </c>
      <c r="U59" s="66">
        <f>SUMIF($G$23:$G$43,$R59,K$23:K$43)</f>
        <v>1227</v>
      </c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>
        <f t="shared" ref="AF59:AQ59" si="20">AF14+AF51</f>
        <v>350</v>
      </c>
      <c r="AG59" s="66">
        <f t="shared" si="20"/>
        <v>350</v>
      </c>
      <c r="AH59" s="66">
        <f t="shared" si="20"/>
        <v>352</v>
      </c>
      <c r="AI59" s="66">
        <f t="shared" si="20"/>
        <v>0</v>
      </c>
      <c r="AJ59" s="66">
        <f t="shared" si="20"/>
        <v>0</v>
      </c>
      <c r="AK59" s="66">
        <f t="shared" si="20"/>
        <v>0</v>
      </c>
      <c r="AL59" s="66">
        <f t="shared" si="20"/>
        <v>0</v>
      </c>
      <c r="AM59" s="66">
        <f t="shared" si="20"/>
        <v>200</v>
      </c>
      <c r="AN59" s="66">
        <f t="shared" si="20"/>
        <v>100</v>
      </c>
      <c r="AO59" s="66">
        <f t="shared" si="20"/>
        <v>300</v>
      </c>
      <c r="AP59" s="66">
        <f t="shared" si="20"/>
        <v>100</v>
      </c>
      <c r="AQ59" s="67">
        <f t="shared" si="20"/>
        <v>0</v>
      </c>
      <c r="AR59" s="67"/>
    </row>
    <row r="60" spans="1:46" ht="19.5" hidden="1" customHeight="1">
      <c r="P60" s="36" t="s">
        <v>44</v>
      </c>
      <c r="R60" s="36" t="s">
        <v>44</v>
      </c>
      <c r="S60" s="36"/>
      <c r="T60" s="120">
        <f>SUM(AF60:AQ60)</f>
        <v>3257.5</v>
      </c>
      <c r="U60" s="65">
        <f>SUMIF($G$23:$G$43,$R60,K$23:K$43)</f>
        <v>1650</v>
      </c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>
        <f t="shared" ref="AF60:AQ60" si="21">AF15+AF52</f>
        <v>582.5</v>
      </c>
      <c r="AG60" s="65">
        <f t="shared" si="21"/>
        <v>0</v>
      </c>
      <c r="AH60" s="65">
        <f t="shared" si="21"/>
        <v>475</v>
      </c>
      <c r="AI60" s="65">
        <f t="shared" si="21"/>
        <v>550</v>
      </c>
      <c r="AJ60" s="65">
        <f t="shared" si="21"/>
        <v>0</v>
      </c>
      <c r="AK60" s="65">
        <f t="shared" si="21"/>
        <v>433</v>
      </c>
      <c r="AL60" s="65">
        <f t="shared" si="21"/>
        <v>367</v>
      </c>
      <c r="AM60" s="65">
        <f t="shared" si="21"/>
        <v>75</v>
      </c>
      <c r="AN60" s="65">
        <f t="shared" si="21"/>
        <v>425</v>
      </c>
      <c r="AO60" s="65">
        <f t="shared" si="21"/>
        <v>150</v>
      </c>
      <c r="AP60" s="65">
        <f t="shared" si="21"/>
        <v>200</v>
      </c>
      <c r="AQ60" s="68">
        <f t="shared" si="21"/>
        <v>0</v>
      </c>
      <c r="AR60" s="68"/>
    </row>
    <row r="61" spans="1:46" ht="19.5" hidden="1" customHeight="1">
      <c r="P61" s="36" t="s">
        <v>62</v>
      </c>
      <c r="R61" s="36" t="s">
        <v>62</v>
      </c>
      <c r="S61" s="36"/>
      <c r="T61" s="120">
        <f>SUM(AF61:AQ61)</f>
        <v>125</v>
      </c>
      <c r="U61" s="65">
        <f>SUMIF($G$23:$G$43,$R61,K$23:K$43)</f>
        <v>150</v>
      </c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>
        <f t="shared" ref="AF61:AQ61" si="22">AF16+AF53</f>
        <v>0</v>
      </c>
      <c r="AG61" s="65">
        <f t="shared" si="22"/>
        <v>0</v>
      </c>
      <c r="AH61" s="65">
        <f t="shared" si="22"/>
        <v>125</v>
      </c>
      <c r="AI61" s="65">
        <f t="shared" si="22"/>
        <v>0</v>
      </c>
      <c r="AJ61" s="65">
        <f t="shared" si="22"/>
        <v>0</v>
      </c>
      <c r="AK61" s="65">
        <f t="shared" si="22"/>
        <v>0</v>
      </c>
      <c r="AL61" s="65">
        <f t="shared" si="22"/>
        <v>0</v>
      </c>
      <c r="AM61" s="65">
        <f t="shared" si="22"/>
        <v>0</v>
      </c>
      <c r="AN61" s="65">
        <f t="shared" si="22"/>
        <v>0</v>
      </c>
      <c r="AO61" s="65">
        <f t="shared" si="22"/>
        <v>0</v>
      </c>
      <c r="AP61" s="65">
        <f t="shared" si="22"/>
        <v>0</v>
      </c>
      <c r="AQ61" s="68">
        <f t="shared" si="22"/>
        <v>0</v>
      </c>
      <c r="AR61" s="68"/>
    </row>
    <row r="62" spans="1:46" ht="19.5" hidden="1" customHeight="1">
      <c r="P62" s="37" t="s">
        <v>63</v>
      </c>
      <c r="R62" s="37" t="s">
        <v>63</v>
      </c>
      <c r="S62" s="37"/>
      <c r="T62" s="121">
        <f>SUM(AF62:AQ62)</f>
        <v>0</v>
      </c>
      <c r="U62" s="69">
        <f>SUMIF($G$23:$G$43,$R62,K$23:K$43)</f>
        <v>0</v>
      </c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>
        <f t="shared" ref="AF62:AQ62" si="23">AF17+AF54</f>
        <v>0</v>
      </c>
      <c r="AG62" s="69">
        <f t="shared" si="23"/>
        <v>0</v>
      </c>
      <c r="AH62" s="69">
        <f t="shared" si="23"/>
        <v>0</v>
      </c>
      <c r="AI62" s="69">
        <f t="shared" si="23"/>
        <v>0</v>
      </c>
      <c r="AJ62" s="69">
        <f t="shared" si="23"/>
        <v>0</v>
      </c>
      <c r="AK62" s="69">
        <f t="shared" si="23"/>
        <v>0</v>
      </c>
      <c r="AL62" s="69">
        <f t="shared" si="23"/>
        <v>0</v>
      </c>
      <c r="AM62" s="69">
        <f t="shared" si="23"/>
        <v>0</v>
      </c>
      <c r="AN62" s="70">
        <f t="shared" si="23"/>
        <v>0</v>
      </c>
      <c r="AO62" s="70">
        <f t="shared" si="23"/>
        <v>0</v>
      </c>
      <c r="AP62" s="69">
        <f t="shared" si="23"/>
        <v>0</v>
      </c>
      <c r="AQ62" s="71">
        <f t="shared" si="23"/>
        <v>0</v>
      </c>
      <c r="AR62" s="71"/>
    </row>
    <row r="63" spans="1:46" ht="19.5" hidden="1" customHeight="1">
      <c r="P63" s="28" t="s">
        <v>64</v>
      </c>
      <c r="R63" s="28" t="s">
        <v>64</v>
      </c>
      <c r="S63" s="28"/>
      <c r="T63" s="29">
        <f>SUM(AF63:AQ63)</f>
        <v>5134.5</v>
      </c>
      <c r="U63" s="122">
        <f t="shared" ref="U63:AQ63" si="24">SUM(U59:U62)</f>
        <v>3027</v>
      </c>
      <c r="V63" s="122">
        <f t="shared" si="24"/>
        <v>0</v>
      </c>
      <c r="W63" s="122">
        <f t="shared" si="24"/>
        <v>0</v>
      </c>
      <c r="X63" s="122">
        <f t="shared" si="24"/>
        <v>0</v>
      </c>
      <c r="Y63" s="122">
        <f t="shared" si="24"/>
        <v>0</v>
      </c>
      <c r="Z63" s="122">
        <f t="shared" si="24"/>
        <v>0</v>
      </c>
      <c r="AA63" s="122">
        <f t="shared" si="24"/>
        <v>0</v>
      </c>
      <c r="AB63" s="122">
        <f t="shared" si="24"/>
        <v>0</v>
      </c>
      <c r="AC63" s="122">
        <f t="shared" si="24"/>
        <v>0</v>
      </c>
      <c r="AD63" s="122">
        <f t="shared" si="24"/>
        <v>0</v>
      </c>
      <c r="AE63" s="122">
        <f t="shared" si="24"/>
        <v>0</v>
      </c>
      <c r="AF63" s="122">
        <f t="shared" si="24"/>
        <v>932.5</v>
      </c>
      <c r="AG63" s="122">
        <f t="shared" si="24"/>
        <v>350</v>
      </c>
      <c r="AH63" s="122">
        <f t="shared" si="24"/>
        <v>952</v>
      </c>
      <c r="AI63" s="122">
        <f t="shared" si="24"/>
        <v>550</v>
      </c>
      <c r="AJ63" s="122">
        <f t="shared" si="24"/>
        <v>0</v>
      </c>
      <c r="AK63" s="122">
        <f t="shared" si="24"/>
        <v>433</v>
      </c>
      <c r="AL63" s="122">
        <f t="shared" si="24"/>
        <v>367</v>
      </c>
      <c r="AM63" s="122">
        <f t="shared" si="24"/>
        <v>275</v>
      </c>
      <c r="AN63" s="122">
        <f t="shared" si="24"/>
        <v>525</v>
      </c>
      <c r="AO63" s="122">
        <f t="shared" si="24"/>
        <v>450</v>
      </c>
      <c r="AP63" s="122">
        <f t="shared" si="24"/>
        <v>300</v>
      </c>
      <c r="AQ63" s="122">
        <f t="shared" si="24"/>
        <v>0</v>
      </c>
      <c r="AR63" s="122"/>
    </row>
    <row r="64" spans="1:46" hidden="1">
      <c r="O64" t="s">
        <v>150</v>
      </c>
      <c r="AF64" s="31">
        <f t="shared" ref="AF64:AQ64" si="25">AF11</f>
        <v>932.5</v>
      </c>
      <c r="AG64" s="31">
        <f t="shared" si="25"/>
        <v>200</v>
      </c>
      <c r="AH64" s="31">
        <f t="shared" si="25"/>
        <v>475</v>
      </c>
      <c r="AI64" s="31">
        <f t="shared" si="25"/>
        <v>550</v>
      </c>
      <c r="AJ64" s="31">
        <f t="shared" si="25"/>
        <v>0</v>
      </c>
      <c r="AK64" s="31">
        <f t="shared" si="25"/>
        <v>0</v>
      </c>
      <c r="AL64" s="31">
        <f t="shared" si="25"/>
        <v>0</v>
      </c>
      <c r="AM64" s="31">
        <f t="shared" si="25"/>
        <v>0</v>
      </c>
      <c r="AN64" s="31">
        <f t="shared" si="25"/>
        <v>0</v>
      </c>
      <c r="AO64" s="31">
        <f t="shared" si="25"/>
        <v>0</v>
      </c>
      <c r="AP64" s="31">
        <f t="shared" si="25"/>
        <v>0</v>
      </c>
      <c r="AQ64" s="31">
        <f t="shared" si="25"/>
        <v>0</v>
      </c>
      <c r="AR64" s="31"/>
    </row>
    <row r="65" spans="1:44" hidden="1">
      <c r="O65" t="s">
        <v>151</v>
      </c>
      <c r="AF65" s="31">
        <f t="shared" ref="AF65:AQ65" si="26">AF64+AF44</f>
        <v>932.5</v>
      </c>
      <c r="AG65" s="31">
        <f t="shared" si="26"/>
        <v>350</v>
      </c>
      <c r="AH65" s="31">
        <f t="shared" si="26"/>
        <v>952</v>
      </c>
      <c r="AI65" s="31">
        <f t="shared" si="26"/>
        <v>550</v>
      </c>
      <c r="AJ65" s="31">
        <f t="shared" si="26"/>
        <v>0</v>
      </c>
      <c r="AK65" s="31">
        <f t="shared" si="26"/>
        <v>433</v>
      </c>
      <c r="AL65" s="31">
        <f t="shared" si="26"/>
        <v>367</v>
      </c>
      <c r="AM65" s="31">
        <f t="shared" si="26"/>
        <v>275</v>
      </c>
      <c r="AN65" s="31">
        <f t="shared" si="26"/>
        <v>525</v>
      </c>
      <c r="AO65" s="31">
        <f t="shared" si="26"/>
        <v>450</v>
      </c>
      <c r="AP65" s="31">
        <f t="shared" si="26"/>
        <v>300</v>
      </c>
      <c r="AQ65" s="31">
        <f t="shared" si="26"/>
        <v>0</v>
      </c>
      <c r="AR65" s="31"/>
    </row>
    <row r="66" spans="1:44" hidden="1">
      <c r="AF66" s="54">
        <f>SUM(AF65:AF65)</f>
        <v>932.5</v>
      </c>
      <c r="AH66" s="54">
        <f>SUM(AG65:AH65)</f>
        <v>1302</v>
      </c>
      <c r="AK66" s="54">
        <f>SUM(AI65:AK65)</f>
        <v>983</v>
      </c>
    </row>
    <row r="67" spans="1:44" hidden="1"/>
    <row r="68" spans="1:44" hidden="1"/>
    <row r="69" spans="1:44" hidden="1">
      <c r="O69">
        <v>2775</v>
      </c>
      <c r="AF69">
        <v>1820.3843264275529</v>
      </c>
      <c r="AG69">
        <v>3879.1326887756213</v>
      </c>
      <c r="AH69">
        <v>5479.9409046118399</v>
      </c>
      <c r="AI69">
        <v>6247.1308123603103</v>
      </c>
      <c r="AJ69">
        <v>5643.9144733689191</v>
      </c>
      <c r="AK69">
        <v>6566.6761451188522</v>
      </c>
      <c r="AL69">
        <v>3374.63772585265</v>
      </c>
      <c r="AM69">
        <v>2741.8741136162266</v>
      </c>
      <c r="AN69">
        <v>1475.6136727641335</v>
      </c>
      <c r="AO69">
        <v>452.88508319052022</v>
      </c>
      <c r="AP69">
        <v>165.2766875286342</v>
      </c>
      <c r="AQ69">
        <v>176.53845714036945</v>
      </c>
    </row>
    <row r="70" spans="1:44" hidden="1">
      <c r="O70">
        <v>1027</v>
      </c>
      <c r="AF70" s="173">
        <v>4035</v>
      </c>
      <c r="AG70" s="173">
        <v>1992</v>
      </c>
      <c r="AH70" s="173">
        <v>1437</v>
      </c>
    </row>
    <row r="71" spans="1:44" hidden="1">
      <c r="O71">
        <v>3995</v>
      </c>
    </row>
    <row r="72" spans="1:44" hidden="1">
      <c r="AF72">
        <f t="shared" ref="AF72:AQ72" si="27">AF71+AF70+AF69</f>
        <v>5855.3843264275529</v>
      </c>
      <c r="AG72">
        <f t="shared" si="27"/>
        <v>5871.1326887756213</v>
      </c>
      <c r="AH72">
        <f t="shared" si="27"/>
        <v>6916.9409046118399</v>
      </c>
      <c r="AI72">
        <f t="shared" si="27"/>
        <v>6247.1308123603103</v>
      </c>
      <c r="AJ72">
        <f t="shared" si="27"/>
        <v>5643.9144733689191</v>
      </c>
      <c r="AK72">
        <f t="shared" si="27"/>
        <v>6566.6761451188522</v>
      </c>
      <c r="AL72">
        <f t="shared" si="27"/>
        <v>3374.63772585265</v>
      </c>
      <c r="AM72">
        <f t="shared" si="27"/>
        <v>2741.8741136162266</v>
      </c>
      <c r="AN72">
        <f t="shared" si="27"/>
        <v>1475.6136727641335</v>
      </c>
      <c r="AO72">
        <f t="shared" si="27"/>
        <v>452.88508319052022</v>
      </c>
      <c r="AP72">
        <f t="shared" si="27"/>
        <v>165.2766875286342</v>
      </c>
      <c r="AQ72">
        <f t="shared" si="27"/>
        <v>176.53845714036945</v>
      </c>
    </row>
    <row r="73" spans="1:44" hidden="1">
      <c r="AF73">
        <v>30</v>
      </c>
      <c r="AG73">
        <v>30</v>
      </c>
      <c r="AH73">
        <v>30</v>
      </c>
      <c r="AI73">
        <v>30</v>
      </c>
      <c r="AJ73">
        <v>30</v>
      </c>
      <c r="AK73">
        <v>30</v>
      </c>
      <c r="AL73">
        <v>30</v>
      </c>
      <c r="AM73">
        <v>30</v>
      </c>
      <c r="AN73">
        <v>30</v>
      </c>
      <c r="AO73">
        <v>30</v>
      </c>
    </row>
    <row r="74" spans="1:44" hidden="1">
      <c r="O74">
        <f>SUM(AF74:AO74)</f>
        <v>1354385.6983825986</v>
      </c>
      <c r="AF74">
        <f t="shared" ref="AF74:AO74" si="28">AF73*AF72</f>
        <v>175661.52979282659</v>
      </c>
      <c r="AG74">
        <f t="shared" si="28"/>
        <v>176133.98066326865</v>
      </c>
      <c r="AH74">
        <f t="shared" si="28"/>
        <v>207508.2271383552</v>
      </c>
      <c r="AI74">
        <f t="shared" si="28"/>
        <v>187413.92437080931</v>
      </c>
      <c r="AJ74">
        <f t="shared" si="28"/>
        <v>169317.43420106758</v>
      </c>
      <c r="AK74">
        <f t="shared" si="28"/>
        <v>197000.28435356557</v>
      </c>
      <c r="AL74">
        <f t="shared" si="28"/>
        <v>101239.1317755795</v>
      </c>
      <c r="AM74">
        <f t="shared" si="28"/>
        <v>82256.223408486796</v>
      </c>
      <c r="AN74">
        <f t="shared" si="28"/>
        <v>44268.410182924003</v>
      </c>
      <c r="AO74">
        <f t="shared" si="28"/>
        <v>13586.552495715607</v>
      </c>
    </row>
    <row r="75" spans="1:44" hidden="1">
      <c r="O75">
        <f>O74/360</f>
        <v>3762.1824955072184</v>
      </c>
    </row>
    <row r="76" spans="1:44" hidden="1">
      <c r="H76" s="2" t="s">
        <v>52</v>
      </c>
      <c r="K76">
        <f>SUMIF(H23:H43,H76,K23:K43)</f>
        <v>1350</v>
      </c>
      <c r="L76">
        <v>325</v>
      </c>
      <c r="M76">
        <f>K76+L76</f>
        <v>1675</v>
      </c>
    </row>
    <row r="77" spans="1:44" hidden="1">
      <c r="H77" s="2" t="s">
        <v>34</v>
      </c>
      <c r="K77">
        <f>SUMIF(H23:H43,H77,K23:K43)</f>
        <v>1677</v>
      </c>
      <c r="L77">
        <v>575</v>
      </c>
      <c r="M77">
        <f>K77+L77</f>
        <v>2252</v>
      </c>
    </row>
    <row r="78" spans="1:44" hidden="1">
      <c r="K78">
        <f>SUM(K76:K77)</f>
        <v>3027</v>
      </c>
      <c r="L78">
        <f>SUM(L76:L77)</f>
        <v>900</v>
      </c>
      <c r="M78">
        <f>K78+L78</f>
        <v>3927</v>
      </c>
    </row>
    <row r="79" spans="1:44" ht="27" hidden="1">
      <c r="D79" s="174" t="s">
        <v>5</v>
      </c>
      <c r="E79" s="175"/>
      <c r="F79" s="174" t="s">
        <v>11</v>
      </c>
    </row>
    <row r="80" spans="1:44" s="3" customFormat="1" ht="17.25" hidden="1" customHeight="1">
      <c r="A80" t="s">
        <v>107</v>
      </c>
      <c r="D80" s="175" t="s">
        <v>107</v>
      </c>
      <c r="E80" s="175"/>
      <c r="F80" s="172">
        <f t="shared" ref="F80:F93" ca="1" si="29">SUMIF($D$23:$E$43,D80,$K$23:$K$43)</f>
        <v>125</v>
      </c>
      <c r="G80" s="55"/>
      <c r="H80" s="55"/>
      <c r="I80" s="55"/>
      <c r="J80" s="55"/>
      <c r="O80" s="175" t="s">
        <v>152</v>
      </c>
      <c r="P80" s="172">
        <f t="shared" ref="P80:P94" si="30">SUMIF($O$23:$O$43,$O80,$K$23:$K$43)</f>
        <v>0</v>
      </c>
      <c r="Q80" s="55"/>
      <c r="R80" s="55"/>
      <c r="S80" s="55"/>
      <c r="T80" s="55"/>
      <c r="U80" s="55"/>
      <c r="V80" s="55"/>
      <c r="W80" s="55"/>
      <c r="X80" s="55"/>
      <c r="AF80" s="172">
        <f t="shared" ref="AF80:AQ94" si="31">SUMIF($O$23:$O$43,$O80,AF$23:AF$43)</f>
        <v>0</v>
      </c>
      <c r="AG80" s="172">
        <f t="shared" si="31"/>
        <v>0</v>
      </c>
      <c r="AH80" s="172">
        <f t="shared" si="31"/>
        <v>0</v>
      </c>
      <c r="AI80" s="172">
        <f t="shared" si="31"/>
        <v>0</v>
      </c>
      <c r="AJ80" s="172">
        <f t="shared" si="31"/>
        <v>0</v>
      </c>
      <c r="AK80" s="172">
        <f t="shared" si="31"/>
        <v>0</v>
      </c>
      <c r="AL80" s="172">
        <f t="shared" si="31"/>
        <v>0</v>
      </c>
      <c r="AM80" s="172">
        <f t="shared" si="31"/>
        <v>0</v>
      </c>
      <c r="AN80" s="172">
        <f t="shared" si="31"/>
        <v>0</v>
      </c>
      <c r="AO80" s="172">
        <f t="shared" si="31"/>
        <v>0</v>
      </c>
      <c r="AP80" s="172">
        <f t="shared" si="31"/>
        <v>0</v>
      </c>
      <c r="AQ80" s="172">
        <f t="shared" si="31"/>
        <v>0</v>
      </c>
      <c r="AR80" s="172"/>
    </row>
    <row r="81" spans="1:44" s="55" customFormat="1" ht="17.25" hidden="1" customHeight="1">
      <c r="A81" t="s">
        <v>153</v>
      </c>
      <c r="B81" s="3"/>
      <c r="C81" s="3"/>
      <c r="D81" s="175" t="s">
        <v>153</v>
      </c>
      <c r="E81" s="175"/>
      <c r="F81" s="172">
        <f t="shared" ca="1" si="29"/>
        <v>0</v>
      </c>
      <c r="G81" s="85"/>
      <c r="K81" s="3"/>
      <c r="L81" s="3"/>
      <c r="M81" s="3"/>
      <c r="N81" s="3"/>
      <c r="O81" s="175" t="s">
        <v>154</v>
      </c>
      <c r="P81" s="172">
        <f t="shared" si="30"/>
        <v>0</v>
      </c>
      <c r="Y81" s="3"/>
      <c r="Z81" s="3"/>
      <c r="AA81" s="3"/>
      <c r="AB81" s="3"/>
      <c r="AC81" s="3"/>
      <c r="AD81" s="3"/>
      <c r="AE81" s="3"/>
      <c r="AF81" s="172">
        <f t="shared" si="31"/>
        <v>0</v>
      </c>
      <c r="AG81" s="172">
        <f t="shared" si="31"/>
        <v>0</v>
      </c>
      <c r="AH81" s="172">
        <f t="shared" si="31"/>
        <v>0</v>
      </c>
      <c r="AI81" s="172">
        <f t="shared" si="31"/>
        <v>0</v>
      </c>
      <c r="AJ81" s="172">
        <f t="shared" si="31"/>
        <v>0</v>
      </c>
      <c r="AK81" s="172">
        <f t="shared" si="31"/>
        <v>0</v>
      </c>
      <c r="AL81" s="172">
        <f t="shared" si="31"/>
        <v>0</v>
      </c>
      <c r="AM81" s="172">
        <f t="shared" si="31"/>
        <v>0</v>
      </c>
      <c r="AN81" s="172">
        <f t="shared" si="31"/>
        <v>0</v>
      </c>
      <c r="AO81" s="172">
        <f t="shared" si="31"/>
        <v>0</v>
      </c>
      <c r="AP81" s="172">
        <f t="shared" si="31"/>
        <v>0</v>
      </c>
      <c r="AQ81" s="172">
        <f t="shared" si="31"/>
        <v>0</v>
      </c>
      <c r="AR81" s="172"/>
    </row>
    <row r="82" spans="1:44" s="3" customFormat="1" ht="17.25" hidden="1" customHeight="1">
      <c r="A82" s="3" t="s">
        <v>71</v>
      </c>
      <c r="D82" s="175" t="s">
        <v>71</v>
      </c>
      <c r="E82" s="175"/>
      <c r="F82" s="172">
        <f t="shared" ca="1" si="29"/>
        <v>560</v>
      </c>
      <c r="G82" s="55"/>
      <c r="H82" s="55"/>
      <c r="I82" s="55"/>
      <c r="J82" s="55"/>
      <c r="O82" s="175" t="s">
        <v>132</v>
      </c>
      <c r="P82" s="172">
        <f t="shared" si="30"/>
        <v>50</v>
      </c>
      <c r="Q82" s="55"/>
      <c r="R82" s="55"/>
      <c r="S82" s="55"/>
      <c r="T82" s="55"/>
      <c r="U82" s="55"/>
      <c r="V82" s="55"/>
      <c r="W82" s="55"/>
      <c r="X82" s="55"/>
      <c r="AF82" s="172">
        <f t="shared" si="31"/>
        <v>0</v>
      </c>
      <c r="AG82" s="172">
        <f t="shared" si="31"/>
        <v>0</v>
      </c>
      <c r="AH82" s="172">
        <f t="shared" si="31"/>
        <v>0</v>
      </c>
      <c r="AI82" s="172">
        <f t="shared" si="31"/>
        <v>0</v>
      </c>
      <c r="AJ82" s="172">
        <f t="shared" si="31"/>
        <v>0</v>
      </c>
      <c r="AK82" s="172">
        <f t="shared" si="31"/>
        <v>50</v>
      </c>
      <c r="AL82" s="172">
        <f t="shared" si="31"/>
        <v>0</v>
      </c>
      <c r="AM82" s="172">
        <f t="shared" si="31"/>
        <v>0</v>
      </c>
      <c r="AN82" s="172">
        <f t="shared" si="31"/>
        <v>0</v>
      </c>
      <c r="AO82" s="172">
        <f t="shared" si="31"/>
        <v>0</v>
      </c>
      <c r="AP82" s="172">
        <f t="shared" si="31"/>
        <v>0</v>
      </c>
      <c r="AQ82" s="172">
        <f t="shared" si="31"/>
        <v>0</v>
      </c>
      <c r="AR82" s="172"/>
    </row>
    <row r="83" spans="1:44" s="3" customFormat="1" ht="17.25" hidden="1" customHeight="1">
      <c r="A83" t="s">
        <v>130</v>
      </c>
      <c r="D83" s="175" t="s">
        <v>130</v>
      </c>
      <c r="E83" s="175"/>
      <c r="F83" s="172">
        <f t="shared" ca="1" si="29"/>
        <v>50</v>
      </c>
      <c r="G83" s="55"/>
      <c r="H83" s="55"/>
      <c r="I83" s="55"/>
      <c r="J83" s="55"/>
      <c r="O83" s="175" t="s">
        <v>39</v>
      </c>
      <c r="P83" s="172">
        <f t="shared" si="30"/>
        <v>125</v>
      </c>
      <c r="Q83" s="55"/>
      <c r="R83" s="55"/>
      <c r="S83" s="55"/>
      <c r="T83" s="55"/>
      <c r="U83" s="55"/>
      <c r="V83" s="55"/>
      <c r="W83" s="55"/>
      <c r="X83" s="55"/>
      <c r="AF83" s="172">
        <f t="shared" si="31"/>
        <v>0</v>
      </c>
      <c r="AG83" s="172">
        <f t="shared" si="31"/>
        <v>0</v>
      </c>
      <c r="AH83" s="172">
        <f t="shared" si="31"/>
        <v>125</v>
      </c>
      <c r="AI83" s="172">
        <f t="shared" si="31"/>
        <v>0</v>
      </c>
      <c r="AJ83" s="172">
        <f t="shared" si="31"/>
        <v>0</v>
      </c>
      <c r="AK83" s="172">
        <f t="shared" si="31"/>
        <v>0</v>
      </c>
      <c r="AL83" s="172">
        <f t="shared" si="31"/>
        <v>0</v>
      </c>
      <c r="AM83" s="172">
        <f t="shared" si="31"/>
        <v>0</v>
      </c>
      <c r="AN83" s="172">
        <f t="shared" si="31"/>
        <v>0</v>
      </c>
      <c r="AO83" s="172">
        <f t="shared" si="31"/>
        <v>0</v>
      </c>
      <c r="AP83" s="172">
        <f t="shared" si="31"/>
        <v>0</v>
      </c>
      <c r="AQ83" s="172">
        <f t="shared" si="31"/>
        <v>0</v>
      </c>
      <c r="AR83" s="172"/>
    </row>
    <row r="84" spans="1:44" s="3" customFormat="1" ht="17.25" hidden="1" customHeight="1">
      <c r="A84" s="3" t="s">
        <v>47</v>
      </c>
      <c r="D84" s="175" t="s">
        <v>47</v>
      </c>
      <c r="E84" s="175"/>
      <c r="F84" s="172">
        <f t="shared" ca="1" si="29"/>
        <v>0</v>
      </c>
      <c r="G84" s="55"/>
      <c r="H84" s="55"/>
      <c r="I84" s="55"/>
      <c r="J84" s="55"/>
      <c r="O84" s="175" t="s">
        <v>53</v>
      </c>
      <c r="P84" s="172">
        <f t="shared" si="30"/>
        <v>150</v>
      </c>
      <c r="Q84" s="55"/>
      <c r="R84" s="55"/>
      <c r="S84" s="55"/>
      <c r="T84" s="55"/>
      <c r="U84" s="55"/>
      <c r="V84" s="55"/>
      <c r="W84" s="55"/>
      <c r="X84" s="55"/>
      <c r="AF84" s="172">
        <f t="shared" si="31"/>
        <v>0</v>
      </c>
      <c r="AG84" s="172">
        <f t="shared" si="31"/>
        <v>0</v>
      </c>
      <c r="AH84" s="172">
        <f t="shared" si="31"/>
        <v>0</v>
      </c>
      <c r="AI84" s="172">
        <f t="shared" si="31"/>
        <v>0</v>
      </c>
      <c r="AJ84" s="172">
        <f t="shared" si="31"/>
        <v>0</v>
      </c>
      <c r="AK84" s="172">
        <f t="shared" si="31"/>
        <v>0</v>
      </c>
      <c r="AL84" s="172">
        <f t="shared" si="31"/>
        <v>0</v>
      </c>
      <c r="AM84" s="172">
        <f t="shared" si="31"/>
        <v>150</v>
      </c>
      <c r="AN84" s="172">
        <f t="shared" si="31"/>
        <v>0</v>
      </c>
      <c r="AO84" s="172">
        <f t="shared" si="31"/>
        <v>0</v>
      </c>
      <c r="AP84" s="172">
        <f t="shared" si="31"/>
        <v>0</v>
      </c>
      <c r="AQ84" s="172">
        <f t="shared" si="31"/>
        <v>0</v>
      </c>
      <c r="AR84" s="172"/>
    </row>
    <row r="85" spans="1:44" s="3" customFormat="1" ht="17.25" hidden="1" customHeight="1">
      <c r="A85" s="3" t="s">
        <v>51</v>
      </c>
      <c r="D85" s="175" t="s">
        <v>51</v>
      </c>
      <c r="E85" s="175"/>
      <c r="F85" s="172">
        <f t="shared" ca="1" si="29"/>
        <v>0</v>
      </c>
      <c r="G85" s="55"/>
      <c r="H85" s="55"/>
      <c r="I85" s="55"/>
      <c r="J85" s="55"/>
      <c r="O85" s="175" t="s">
        <v>120</v>
      </c>
      <c r="P85" s="172">
        <f t="shared" si="30"/>
        <v>750</v>
      </c>
      <c r="Q85" s="55"/>
      <c r="R85" s="55"/>
      <c r="S85" s="55"/>
      <c r="T85" s="55"/>
      <c r="U85" s="55"/>
      <c r="V85" s="55"/>
      <c r="W85" s="55"/>
      <c r="X85" s="55"/>
      <c r="AF85" s="172">
        <f t="shared" si="31"/>
        <v>0</v>
      </c>
      <c r="AG85" s="172">
        <f t="shared" si="31"/>
        <v>0</v>
      </c>
      <c r="AH85" s="172">
        <f t="shared" si="31"/>
        <v>0</v>
      </c>
      <c r="AI85" s="172">
        <f t="shared" si="31"/>
        <v>0</v>
      </c>
      <c r="AJ85" s="172">
        <f t="shared" si="31"/>
        <v>0</v>
      </c>
      <c r="AK85" s="172">
        <f t="shared" si="31"/>
        <v>383</v>
      </c>
      <c r="AL85" s="172">
        <f t="shared" si="31"/>
        <v>367</v>
      </c>
      <c r="AM85" s="172">
        <f t="shared" si="31"/>
        <v>0</v>
      </c>
      <c r="AN85" s="172">
        <f t="shared" si="31"/>
        <v>0</v>
      </c>
      <c r="AO85" s="172">
        <f t="shared" si="31"/>
        <v>0</v>
      </c>
      <c r="AP85" s="172">
        <f t="shared" si="31"/>
        <v>0</v>
      </c>
      <c r="AQ85" s="172">
        <f t="shared" si="31"/>
        <v>0</v>
      </c>
      <c r="AR85" s="172"/>
    </row>
    <row r="86" spans="1:44" s="3" customFormat="1" ht="17.25" hidden="1" customHeight="1">
      <c r="A86" s="3" t="s">
        <v>56</v>
      </c>
      <c r="D86" s="175" t="s">
        <v>56</v>
      </c>
      <c r="E86" s="175"/>
      <c r="F86" s="172">
        <f t="shared" ca="1" si="29"/>
        <v>150</v>
      </c>
      <c r="G86" s="55"/>
      <c r="H86" s="55"/>
      <c r="I86" s="55"/>
      <c r="J86" s="55"/>
      <c r="O86" s="175" t="s">
        <v>155</v>
      </c>
      <c r="P86" s="172">
        <f t="shared" si="30"/>
        <v>0</v>
      </c>
      <c r="Q86" s="55"/>
      <c r="R86" s="55"/>
      <c r="S86" s="55"/>
      <c r="T86" s="55"/>
      <c r="U86" s="55"/>
      <c r="V86" s="55"/>
      <c r="W86" s="55"/>
      <c r="X86" s="55"/>
      <c r="AF86" s="172">
        <f t="shared" si="31"/>
        <v>0</v>
      </c>
      <c r="AG86" s="172">
        <f t="shared" si="31"/>
        <v>0</v>
      </c>
      <c r="AH86" s="172">
        <f t="shared" si="31"/>
        <v>0</v>
      </c>
      <c r="AI86" s="172">
        <f t="shared" si="31"/>
        <v>0</v>
      </c>
      <c r="AJ86" s="172">
        <f t="shared" si="31"/>
        <v>0</v>
      </c>
      <c r="AK86" s="172">
        <f t="shared" si="31"/>
        <v>0</v>
      </c>
      <c r="AL86" s="172">
        <f t="shared" si="31"/>
        <v>0</v>
      </c>
      <c r="AM86" s="172">
        <f t="shared" si="31"/>
        <v>0</v>
      </c>
      <c r="AN86" s="172">
        <f t="shared" si="31"/>
        <v>0</v>
      </c>
      <c r="AO86" s="172">
        <f t="shared" si="31"/>
        <v>0</v>
      </c>
      <c r="AP86" s="172">
        <f t="shared" si="31"/>
        <v>0</v>
      </c>
      <c r="AQ86" s="172">
        <f t="shared" si="31"/>
        <v>0</v>
      </c>
      <c r="AR86" s="172"/>
    </row>
    <row r="87" spans="1:44" s="3" customFormat="1" ht="17.25" hidden="1" customHeight="1">
      <c r="A87" s="3" t="s">
        <v>91</v>
      </c>
      <c r="D87" s="175" t="s">
        <v>91</v>
      </c>
      <c r="E87" s="175"/>
      <c r="F87" s="172">
        <f t="shared" ca="1" si="29"/>
        <v>200</v>
      </c>
      <c r="G87" s="55"/>
      <c r="H87" s="55"/>
      <c r="I87" s="55"/>
      <c r="J87" s="55"/>
      <c r="O87" s="175" t="s">
        <v>75</v>
      </c>
      <c r="P87" s="172">
        <f t="shared" si="30"/>
        <v>710</v>
      </c>
      <c r="Q87" s="55"/>
      <c r="R87" s="55"/>
      <c r="S87" s="55"/>
      <c r="T87" s="55"/>
      <c r="U87" s="55"/>
      <c r="V87" s="55"/>
      <c r="W87" s="55"/>
      <c r="X87" s="55"/>
      <c r="AF87" s="172">
        <f t="shared" si="31"/>
        <v>0</v>
      </c>
      <c r="AG87" s="172">
        <f t="shared" si="31"/>
        <v>0</v>
      </c>
      <c r="AH87" s="172">
        <f t="shared" si="31"/>
        <v>60</v>
      </c>
      <c r="AI87" s="172">
        <f t="shared" si="31"/>
        <v>0</v>
      </c>
      <c r="AJ87" s="172">
        <f t="shared" si="31"/>
        <v>0</v>
      </c>
      <c r="AK87" s="172">
        <f t="shared" si="31"/>
        <v>0</v>
      </c>
      <c r="AL87" s="172">
        <f t="shared" si="31"/>
        <v>0</v>
      </c>
      <c r="AM87" s="172">
        <f t="shared" si="31"/>
        <v>125</v>
      </c>
      <c r="AN87" s="172">
        <f t="shared" si="31"/>
        <v>425</v>
      </c>
      <c r="AO87" s="172">
        <f t="shared" si="31"/>
        <v>100</v>
      </c>
      <c r="AP87" s="172">
        <f t="shared" si="31"/>
        <v>0</v>
      </c>
      <c r="AQ87" s="172">
        <f t="shared" si="31"/>
        <v>0</v>
      </c>
      <c r="AR87" s="172"/>
    </row>
    <row r="88" spans="1:44" s="3" customFormat="1" ht="17.25" hidden="1" customHeight="1">
      <c r="A88" t="s">
        <v>117</v>
      </c>
      <c r="D88" s="175" t="s">
        <v>117</v>
      </c>
      <c r="E88" s="175"/>
      <c r="F88" s="172">
        <f t="shared" ca="1" si="29"/>
        <v>750</v>
      </c>
      <c r="G88" s="55"/>
      <c r="H88" s="55"/>
      <c r="I88" s="55"/>
      <c r="J88" s="55"/>
      <c r="O88" s="175" t="s">
        <v>35</v>
      </c>
      <c r="P88" s="172">
        <f t="shared" si="30"/>
        <v>100</v>
      </c>
      <c r="Q88" s="55"/>
      <c r="R88" s="55"/>
      <c r="S88" s="55"/>
      <c r="T88" s="55"/>
      <c r="U88" s="55"/>
      <c r="V88" s="55"/>
      <c r="W88" s="55"/>
      <c r="X88" s="55"/>
      <c r="AF88" s="172">
        <f t="shared" si="31"/>
        <v>0</v>
      </c>
      <c r="AG88" s="172">
        <f t="shared" si="31"/>
        <v>0</v>
      </c>
      <c r="AH88" s="172">
        <f t="shared" si="31"/>
        <v>0</v>
      </c>
      <c r="AI88" s="172">
        <f t="shared" si="31"/>
        <v>0</v>
      </c>
      <c r="AJ88" s="172">
        <f t="shared" si="31"/>
        <v>0</v>
      </c>
      <c r="AK88" s="172">
        <f t="shared" si="31"/>
        <v>0</v>
      </c>
      <c r="AL88" s="172">
        <f t="shared" si="31"/>
        <v>0</v>
      </c>
      <c r="AM88" s="172">
        <f t="shared" si="31"/>
        <v>0</v>
      </c>
      <c r="AN88" s="172">
        <f t="shared" si="31"/>
        <v>0</v>
      </c>
      <c r="AO88" s="172">
        <f t="shared" si="31"/>
        <v>100</v>
      </c>
      <c r="AP88" s="172">
        <f t="shared" si="31"/>
        <v>0</v>
      </c>
      <c r="AQ88" s="172">
        <f t="shared" si="31"/>
        <v>0</v>
      </c>
      <c r="AR88" s="172"/>
    </row>
    <row r="89" spans="1:44" s="3" customFormat="1" ht="17.25" hidden="1" customHeight="1">
      <c r="A89" t="s">
        <v>156</v>
      </c>
      <c r="D89" s="175" t="s">
        <v>156</v>
      </c>
      <c r="E89" s="175"/>
      <c r="F89" s="172">
        <f t="shared" ca="1" si="29"/>
        <v>0</v>
      </c>
      <c r="G89" s="55"/>
      <c r="H89" s="55"/>
      <c r="I89" s="55"/>
      <c r="J89" s="55"/>
      <c r="O89" s="175" t="s">
        <v>59</v>
      </c>
      <c r="P89" s="172">
        <f t="shared" si="30"/>
        <v>442</v>
      </c>
      <c r="Q89" s="55"/>
      <c r="R89" s="55"/>
      <c r="S89" s="55"/>
      <c r="T89" s="55"/>
      <c r="U89" s="55"/>
      <c r="V89" s="55"/>
      <c r="W89" s="55"/>
      <c r="X89" s="55"/>
      <c r="AF89" s="172">
        <f t="shared" si="31"/>
        <v>0</v>
      </c>
      <c r="AG89" s="172">
        <f t="shared" si="31"/>
        <v>150</v>
      </c>
      <c r="AH89" s="172">
        <f t="shared" si="31"/>
        <v>292</v>
      </c>
      <c r="AI89" s="172">
        <f t="shared" si="31"/>
        <v>0</v>
      </c>
      <c r="AJ89" s="172">
        <f t="shared" si="31"/>
        <v>0</v>
      </c>
      <c r="AK89" s="172">
        <f t="shared" si="31"/>
        <v>0</v>
      </c>
      <c r="AL89" s="172">
        <f t="shared" si="31"/>
        <v>0</v>
      </c>
      <c r="AM89" s="172">
        <f t="shared" si="31"/>
        <v>0</v>
      </c>
      <c r="AN89" s="172">
        <f t="shared" si="31"/>
        <v>0</v>
      </c>
      <c r="AO89" s="172">
        <f t="shared" si="31"/>
        <v>0</v>
      </c>
      <c r="AP89" s="172">
        <f t="shared" si="31"/>
        <v>0</v>
      </c>
      <c r="AQ89" s="172">
        <f t="shared" si="31"/>
        <v>0</v>
      </c>
      <c r="AR89" s="172"/>
    </row>
    <row r="90" spans="1:44" s="3" customFormat="1" ht="17.25" hidden="1" customHeight="1">
      <c r="A90" t="s">
        <v>135</v>
      </c>
      <c r="D90" s="175" t="s">
        <v>135</v>
      </c>
      <c r="E90" s="175"/>
      <c r="F90" s="172">
        <f t="shared" ca="1" si="29"/>
        <v>300</v>
      </c>
      <c r="G90" s="55"/>
      <c r="H90" s="55"/>
      <c r="I90" s="55"/>
      <c r="J90" s="55"/>
      <c r="O90" s="175" t="s">
        <v>136</v>
      </c>
      <c r="P90" s="172">
        <f t="shared" si="30"/>
        <v>0</v>
      </c>
      <c r="Q90" s="55"/>
      <c r="R90" s="55"/>
      <c r="S90" s="55"/>
      <c r="T90" s="55"/>
      <c r="U90" s="55"/>
      <c r="V90" s="55"/>
      <c r="W90" s="55"/>
      <c r="X90" s="55"/>
      <c r="AF90" s="172">
        <f t="shared" si="31"/>
        <v>0</v>
      </c>
      <c r="AG90" s="172">
        <f t="shared" si="31"/>
        <v>0</v>
      </c>
      <c r="AH90" s="172">
        <f t="shared" si="31"/>
        <v>0</v>
      </c>
      <c r="AI90" s="172">
        <f t="shared" si="31"/>
        <v>0</v>
      </c>
      <c r="AJ90" s="172">
        <f t="shared" si="31"/>
        <v>0</v>
      </c>
      <c r="AK90" s="172">
        <f t="shared" si="31"/>
        <v>0</v>
      </c>
      <c r="AL90" s="172">
        <f t="shared" si="31"/>
        <v>0</v>
      </c>
      <c r="AM90" s="172">
        <f t="shared" si="31"/>
        <v>0</v>
      </c>
      <c r="AN90" s="172">
        <f t="shared" si="31"/>
        <v>0</v>
      </c>
      <c r="AO90" s="172">
        <f t="shared" si="31"/>
        <v>0</v>
      </c>
      <c r="AP90" s="172">
        <f t="shared" si="31"/>
        <v>0</v>
      </c>
      <c r="AQ90" s="172">
        <f t="shared" si="31"/>
        <v>0</v>
      </c>
      <c r="AR90" s="172"/>
    </row>
    <row r="91" spans="1:44" s="3" customFormat="1" ht="17.25" hidden="1" customHeight="1">
      <c r="A91" s="3" t="s">
        <v>96</v>
      </c>
      <c r="D91" s="175" t="s">
        <v>96</v>
      </c>
      <c r="E91" s="175"/>
      <c r="F91" s="172">
        <f t="shared" ca="1" si="29"/>
        <v>442</v>
      </c>
      <c r="G91" s="55"/>
      <c r="H91" s="55"/>
      <c r="I91" s="55"/>
      <c r="J91" s="55"/>
      <c r="O91" s="175" t="s">
        <v>157</v>
      </c>
      <c r="P91" s="172">
        <f t="shared" si="30"/>
        <v>0</v>
      </c>
      <c r="Q91" s="55"/>
      <c r="R91" s="55"/>
      <c r="S91" s="55"/>
      <c r="T91" s="55"/>
      <c r="U91" s="55"/>
      <c r="V91" s="55"/>
      <c r="W91" s="55"/>
      <c r="X91" s="55"/>
      <c r="AF91" s="172">
        <f t="shared" si="31"/>
        <v>0</v>
      </c>
      <c r="AG91" s="172">
        <f t="shared" si="31"/>
        <v>0</v>
      </c>
      <c r="AH91" s="172">
        <f t="shared" si="31"/>
        <v>0</v>
      </c>
      <c r="AI91" s="172">
        <f t="shared" si="31"/>
        <v>0</v>
      </c>
      <c r="AJ91" s="172">
        <f t="shared" si="31"/>
        <v>0</v>
      </c>
      <c r="AK91" s="172">
        <f t="shared" si="31"/>
        <v>0</v>
      </c>
      <c r="AL91" s="172">
        <f t="shared" si="31"/>
        <v>0</v>
      </c>
      <c r="AM91" s="172">
        <f t="shared" si="31"/>
        <v>0</v>
      </c>
      <c r="AN91" s="172">
        <f t="shared" si="31"/>
        <v>0</v>
      </c>
      <c r="AO91" s="172">
        <f t="shared" si="31"/>
        <v>0</v>
      </c>
      <c r="AP91" s="172">
        <f t="shared" si="31"/>
        <v>0</v>
      </c>
      <c r="AQ91" s="172">
        <f t="shared" si="31"/>
        <v>0</v>
      </c>
      <c r="AR91" s="172"/>
    </row>
    <row r="92" spans="1:44" s="3" customFormat="1" ht="17.25" hidden="1" customHeight="1">
      <c r="A92" s="3" t="s">
        <v>158</v>
      </c>
      <c r="D92" s="175" t="s">
        <v>158</v>
      </c>
      <c r="E92" s="175"/>
      <c r="F92" s="172">
        <f t="shared" ca="1" si="29"/>
        <v>0</v>
      </c>
      <c r="G92" s="55"/>
      <c r="H92" s="55"/>
      <c r="I92" s="55"/>
      <c r="J92" s="55"/>
      <c r="O92" s="175" t="s">
        <v>45</v>
      </c>
      <c r="P92" s="172">
        <f t="shared" si="30"/>
        <v>0</v>
      </c>
      <c r="Q92" s="55"/>
      <c r="R92" s="55"/>
      <c r="S92" s="55"/>
      <c r="T92" s="55"/>
      <c r="U92" s="55"/>
      <c r="V92" s="55"/>
      <c r="W92" s="55"/>
      <c r="X92" s="55"/>
      <c r="AF92" s="172">
        <f t="shared" si="31"/>
        <v>0</v>
      </c>
      <c r="AG92" s="172">
        <f t="shared" si="31"/>
        <v>0</v>
      </c>
      <c r="AH92" s="172">
        <f t="shared" si="31"/>
        <v>0</v>
      </c>
      <c r="AI92" s="172">
        <f t="shared" si="31"/>
        <v>0</v>
      </c>
      <c r="AJ92" s="172">
        <f t="shared" si="31"/>
        <v>0</v>
      </c>
      <c r="AK92" s="172">
        <f t="shared" si="31"/>
        <v>0</v>
      </c>
      <c r="AL92" s="172">
        <f t="shared" si="31"/>
        <v>0</v>
      </c>
      <c r="AM92" s="172">
        <f t="shared" si="31"/>
        <v>0</v>
      </c>
      <c r="AN92" s="172">
        <f t="shared" si="31"/>
        <v>0</v>
      </c>
      <c r="AO92" s="172">
        <f t="shared" si="31"/>
        <v>0</v>
      </c>
      <c r="AP92" s="172">
        <f t="shared" si="31"/>
        <v>0</v>
      </c>
      <c r="AQ92" s="172">
        <f t="shared" si="31"/>
        <v>0</v>
      </c>
      <c r="AR92" s="172"/>
    </row>
    <row r="93" spans="1:44" s="3" customFormat="1" ht="17.25" hidden="1" customHeight="1">
      <c r="A93" s="3" t="s">
        <v>86</v>
      </c>
      <c r="D93" s="175" t="s">
        <v>86</v>
      </c>
      <c r="E93" s="175"/>
      <c r="F93" s="172">
        <f t="shared" ca="1" si="29"/>
        <v>100</v>
      </c>
      <c r="G93" s="55"/>
      <c r="H93" s="55"/>
      <c r="I93" s="55"/>
      <c r="J93" s="55"/>
      <c r="O93" s="175" t="s">
        <v>159</v>
      </c>
      <c r="P93" s="172">
        <f t="shared" si="30"/>
        <v>0</v>
      </c>
      <c r="Q93" s="55"/>
      <c r="R93" s="55"/>
      <c r="S93" s="55"/>
      <c r="T93" s="55"/>
      <c r="U93" s="55"/>
      <c r="V93" s="55"/>
      <c r="W93" s="55"/>
      <c r="X93" s="55"/>
      <c r="AF93" s="172">
        <f t="shared" si="31"/>
        <v>0</v>
      </c>
      <c r="AG93" s="172">
        <f t="shared" si="31"/>
        <v>0</v>
      </c>
      <c r="AH93" s="172">
        <f t="shared" si="31"/>
        <v>0</v>
      </c>
      <c r="AI93" s="172">
        <f t="shared" si="31"/>
        <v>0</v>
      </c>
      <c r="AJ93" s="172">
        <f t="shared" si="31"/>
        <v>0</v>
      </c>
      <c r="AK93" s="172">
        <f t="shared" si="31"/>
        <v>0</v>
      </c>
      <c r="AL93" s="172">
        <f t="shared" si="31"/>
        <v>0</v>
      </c>
      <c r="AM93" s="172">
        <f t="shared" si="31"/>
        <v>0</v>
      </c>
      <c r="AN93" s="172">
        <f t="shared" si="31"/>
        <v>0</v>
      </c>
      <c r="AO93" s="172">
        <f t="shared" si="31"/>
        <v>0</v>
      </c>
      <c r="AP93" s="172">
        <f t="shared" si="31"/>
        <v>0</v>
      </c>
      <c r="AQ93" s="172">
        <f t="shared" si="31"/>
        <v>0</v>
      </c>
      <c r="AR93" s="172"/>
    </row>
    <row r="94" spans="1:44" hidden="1">
      <c r="A94" t="s">
        <v>160</v>
      </c>
      <c r="D94" s="175" t="s">
        <v>160</v>
      </c>
      <c r="E94" s="175"/>
      <c r="F94" s="172">
        <f ca="1">SUMIF($D$23:$E$43,D94,$K$23:$K$43)-1.5</f>
        <v>-1.5</v>
      </c>
      <c r="O94" s="39" t="s">
        <v>160</v>
      </c>
      <c r="P94" s="172">
        <f t="shared" si="30"/>
        <v>0</v>
      </c>
      <c r="AF94" s="172">
        <f t="shared" si="31"/>
        <v>0</v>
      </c>
      <c r="AG94" s="172">
        <f t="shared" si="31"/>
        <v>0</v>
      </c>
      <c r="AH94" s="172">
        <f t="shared" si="31"/>
        <v>0</v>
      </c>
      <c r="AI94" s="172">
        <f t="shared" si="31"/>
        <v>0</v>
      </c>
      <c r="AJ94" s="172">
        <f t="shared" si="31"/>
        <v>0</v>
      </c>
      <c r="AK94" s="172">
        <f t="shared" si="31"/>
        <v>0</v>
      </c>
      <c r="AL94" s="172">
        <f t="shared" si="31"/>
        <v>0</v>
      </c>
      <c r="AM94" s="172">
        <f t="shared" si="31"/>
        <v>0</v>
      </c>
      <c r="AN94" s="172">
        <f t="shared" si="31"/>
        <v>0</v>
      </c>
      <c r="AO94" s="172">
        <f t="shared" si="31"/>
        <v>0</v>
      </c>
      <c r="AP94" s="172">
        <f t="shared" si="31"/>
        <v>0</v>
      </c>
      <c r="AQ94" s="172">
        <f t="shared" si="31"/>
        <v>0</v>
      </c>
      <c r="AR94" s="172"/>
    </row>
    <row r="95" spans="1:44" hidden="1">
      <c r="A95" s="3"/>
      <c r="D95" s="28" t="s">
        <v>64</v>
      </c>
      <c r="E95" s="28"/>
      <c r="F95" s="122">
        <f ca="1">SUM(F80:F94)</f>
        <v>2675.5</v>
      </c>
      <c r="O95" s="28" t="s">
        <v>64</v>
      </c>
      <c r="P95" s="122">
        <f>SUM(P80:P94)</f>
        <v>2327</v>
      </c>
      <c r="Q95" s="122">
        <f>SUM(Q80:Q94)</f>
        <v>0</v>
      </c>
    </row>
    <row r="96" spans="1:44" hidden="1">
      <c r="AF96" s="176" t="e">
        <f>#REF!+#REF!+#REF!+#REF!+#REF!+#REF!+#REF!+#REF!+#REF!+AF6+AF7+AF5+AF8+AF9+#REF!+#REF!+#REF!+AF23+AF24+AF26+AF30+AF31+AF33+AF34+AF35+AF36+AF37+AF32+AF43+#REF!+#REF!+#REF!+#REF!+#REF!</f>
        <v>#REF!</v>
      </c>
      <c r="AG96" s="176" t="e">
        <f>#REF!+#REF!+#REF!+#REF!+#REF!+#REF!+#REF!+#REF!+#REF!+AG6+AG7+AG5+AG8+AG9+#REF!+#REF!+#REF!+AG23+AG24+AG26+AG30+AG31+AG33+AG34+AG35+AG36+AG37+AG32+AG43+#REF!+#REF!+#REF!+#REF!+#REF!</f>
        <v>#REF!</v>
      </c>
      <c r="AH96" s="176" t="e">
        <f>#REF!+#REF!+#REF!+#REF!+#REF!+#REF!+#REF!+#REF!+#REF!+AH6+AH7+AH5+AH8+AH9+#REF!+#REF!+#REF!+AH23+AH24+AH26+AH30+AH31+AH33+AH34+AH35+AH36+AH37+AH32+AH43+#REF!+#REF!+#REF!+#REF!+#REF!</f>
        <v>#REF!</v>
      </c>
      <c r="AI96" s="176" t="e">
        <f>#REF!+#REF!+#REF!+#REF!+#REF!+#REF!+#REF!+#REF!+#REF!+AI6+AI7+AI5+AI8+AI9+#REF!+#REF!+#REF!+AI23+AI24+AI26+AI30+AI31+AI33+AI34+AI35+AI36+AI37+AI32+AI43+#REF!+#REF!+#REF!+#REF!+#REF!</f>
        <v>#REF!</v>
      </c>
      <c r="AJ96" s="176" t="e">
        <f>#REF!+#REF!+#REF!+#REF!+#REF!+#REF!+#REF!+#REF!+#REF!+AJ6+AJ7+AJ5+AJ8+AJ9+#REF!+#REF!+#REF!+AJ23+AJ24+AJ26+AJ30+AJ31+AJ33+AJ34+AJ35+AJ36+AJ37+AJ32+AJ43+#REF!+#REF!+#REF!+#REF!+#REF!</f>
        <v>#REF!</v>
      </c>
      <c r="AK96" s="176" t="e">
        <f>#REF!+#REF!+#REF!+#REF!+#REF!+#REF!+#REF!+#REF!+#REF!+AK6+AK7+AK5+AK8+AK9+#REF!+#REF!+#REF!+AK23+AK24+AK26+AK30+AK31+AK33+AK34+AK35+AK36+AK37+AK32+AK43+#REF!+#REF!+#REF!+#REF!+#REF!</f>
        <v>#REF!</v>
      </c>
      <c r="AL96" s="176" t="e">
        <f>#REF!+#REF!+#REF!+#REF!+#REF!+#REF!+#REF!+#REF!+#REF!+AL6+AL7+AL5+AL8+AL9+#REF!+#REF!+#REF!+AL23+AL24+AL26+AL30+AL31+AL33+AL34+AL35+AL36+AL37+AL32+AL43+#REF!+#REF!+#REF!+#REF!+#REF!</f>
        <v>#REF!</v>
      </c>
      <c r="AM96" s="176" t="e">
        <f>#REF!+#REF!+#REF!+#REF!+#REF!+#REF!+#REF!+#REF!+#REF!+AM6+AM7+AM5+AM8+AM9+#REF!+#REF!+#REF!+AM23+AM24+AM26+AM30+AM31+AM33+AM34+AM35+AM36+AM37+AM32+AM43+#REF!+#REF!+#REF!+#REF!+#REF!</f>
        <v>#REF!</v>
      </c>
      <c r="AN96" s="176" t="e">
        <f>#REF!+#REF!+#REF!+#REF!+#REF!+#REF!+#REF!+#REF!+#REF!+AN6+AN7+AN5+AN8+AN9+#REF!+#REF!+#REF!+AN23+AN24+AN26+AN30+AN31+AN33+AN34+AN35+AN36+AN37+AN32+AN43+#REF!+#REF!+#REF!+#REF!+#REF!</f>
        <v>#REF!</v>
      </c>
      <c r="AO96" s="176" t="e">
        <f>#REF!+#REF!+#REF!+#REF!+#REF!+#REF!+#REF!+#REF!+#REF!+AO6+AO7+AO5+AO8+AO9+#REF!+#REF!+#REF!+AO23+AO24+AO26+AO30+AO31+AO33+AO34+AO35+AO36+AO37+AO32+AO43+#REF!+#REF!+#REF!+#REF!+#REF!</f>
        <v>#REF!</v>
      </c>
      <c r="AP96" s="176" t="e">
        <f>#REF!+#REF!+#REF!+#REF!+#REF!+#REF!+#REF!+#REF!+#REF!+AP6+AP7+AP5+AP8+AP9+#REF!+#REF!+#REF!+AP23+AP24+AP26+AP30+AP31+AP33+AP34+AP35+AP36+AP37+AP32+AP43+#REF!+#REF!+#REF!+#REF!+#REF!</f>
        <v>#REF!</v>
      </c>
      <c r="AQ96" s="176" t="e">
        <f>#REF!+#REF!+#REF!+#REF!+#REF!+#REF!+#REF!+#REF!+#REF!+AQ6+AQ7+AQ5+AQ8+AQ9+#REF!+#REF!+#REF!+AQ23+AQ24+AQ26+AQ30+AQ31+AQ33+AQ34+AQ35+AQ36+AQ37+AQ32+AQ43+#REF!+#REF!+#REF!+#REF!+#REF!</f>
        <v>#REF!</v>
      </c>
    </row>
    <row r="97" spans="1:44" hidden="1"/>
    <row r="98" spans="1:44" hidden="1">
      <c r="AF98" s="173" t="e">
        <f t="shared" ref="AF98:AQ98" si="32">AF11+AF44-AF96</f>
        <v>#REF!</v>
      </c>
      <c r="AG98" s="173" t="e">
        <f t="shared" si="32"/>
        <v>#REF!</v>
      </c>
      <c r="AH98" s="173" t="e">
        <f t="shared" si="32"/>
        <v>#REF!</v>
      </c>
      <c r="AI98" s="173" t="e">
        <f t="shared" si="32"/>
        <v>#REF!</v>
      </c>
      <c r="AJ98" s="173" t="e">
        <f t="shared" si="32"/>
        <v>#REF!</v>
      </c>
      <c r="AK98" s="173" t="e">
        <f t="shared" si="32"/>
        <v>#REF!</v>
      </c>
      <c r="AL98" s="173" t="e">
        <f t="shared" si="32"/>
        <v>#REF!</v>
      </c>
      <c r="AM98" s="173" t="e">
        <f t="shared" si="32"/>
        <v>#REF!</v>
      </c>
      <c r="AN98" s="173" t="e">
        <f t="shared" si="32"/>
        <v>#REF!</v>
      </c>
      <c r="AO98" s="173" t="e">
        <f t="shared" si="32"/>
        <v>#REF!</v>
      </c>
      <c r="AP98" s="173" t="e">
        <f t="shared" si="32"/>
        <v>#REF!</v>
      </c>
      <c r="AQ98" s="173" t="e">
        <f t="shared" si="32"/>
        <v>#REF!</v>
      </c>
    </row>
    <row r="99" spans="1:44" hidden="1"/>
    <row r="100" spans="1:44" hidden="1"/>
    <row r="101" spans="1:44" hidden="1"/>
    <row r="102" spans="1:44" hidden="1"/>
    <row r="103" spans="1:44" s="2" customFormat="1" hidden="1">
      <c r="A103"/>
      <c r="B103"/>
      <c r="C103"/>
      <c r="D103"/>
      <c r="E103"/>
      <c r="G103" s="63"/>
      <c r="K103"/>
      <c r="L103"/>
      <c r="M103"/>
      <c r="N103"/>
      <c r="O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</row>
    <row r="104" spans="1:44" hidden="1"/>
    <row r="105" spans="1:44" hidden="1">
      <c r="H105" s="2" t="s">
        <v>161</v>
      </c>
    </row>
    <row r="106" spans="1:44" hidden="1">
      <c r="G106" s="177" t="s">
        <v>33</v>
      </c>
      <c r="H106" s="177" t="s">
        <v>33</v>
      </c>
      <c r="K106">
        <f>SUMIF($G$1:$G$43,$G106,K$1:K$43)</f>
        <v>2102</v>
      </c>
      <c r="P106"/>
      <c r="T106" s="105"/>
      <c r="Y106" s="2"/>
      <c r="AF106">
        <f t="shared" ref="AF106:AR108" si="33">SUMIF($G$1:$G$43,$G106,AF$1:AF$43)</f>
        <v>350</v>
      </c>
      <c r="AG106">
        <f t="shared" si="33"/>
        <v>350</v>
      </c>
      <c r="AH106">
        <f t="shared" si="33"/>
        <v>352</v>
      </c>
      <c r="AI106">
        <f t="shared" si="33"/>
        <v>0</v>
      </c>
      <c r="AJ106">
        <f t="shared" si="33"/>
        <v>0</v>
      </c>
      <c r="AK106">
        <f t="shared" si="33"/>
        <v>0</v>
      </c>
      <c r="AL106">
        <f t="shared" si="33"/>
        <v>0</v>
      </c>
      <c r="AM106">
        <f t="shared" si="33"/>
        <v>200</v>
      </c>
      <c r="AN106">
        <f t="shared" si="33"/>
        <v>100</v>
      </c>
      <c r="AO106">
        <f t="shared" si="33"/>
        <v>300</v>
      </c>
      <c r="AP106">
        <f t="shared" si="33"/>
        <v>100</v>
      </c>
      <c r="AQ106">
        <f t="shared" si="33"/>
        <v>0</v>
      </c>
      <c r="AR106">
        <f t="shared" si="33"/>
        <v>1752</v>
      </c>
    </row>
    <row r="107" spans="1:44" hidden="1">
      <c r="G107" s="178" t="e">
        <f>#REF!</f>
        <v>#REF!</v>
      </c>
      <c r="H107" s="178" t="s">
        <v>44</v>
      </c>
      <c r="K107">
        <f>SUMIF($G$1:$G$43,$G107,K$1:K$43)</f>
        <v>0</v>
      </c>
      <c r="P107"/>
      <c r="T107" s="105"/>
      <c r="Y107" s="2"/>
      <c r="AF107">
        <f t="shared" si="33"/>
        <v>0</v>
      </c>
      <c r="AG107">
        <f t="shared" si="33"/>
        <v>0</v>
      </c>
      <c r="AH107">
        <f t="shared" si="33"/>
        <v>0</v>
      </c>
      <c r="AI107">
        <f t="shared" si="33"/>
        <v>0</v>
      </c>
      <c r="AJ107">
        <f t="shared" si="33"/>
        <v>0</v>
      </c>
      <c r="AK107">
        <f t="shared" si="33"/>
        <v>0</v>
      </c>
      <c r="AL107">
        <f t="shared" si="33"/>
        <v>0</v>
      </c>
      <c r="AM107">
        <f t="shared" si="33"/>
        <v>0</v>
      </c>
      <c r="AN107">
        <f t="shared" si="33"/>
        <v>0</v>
      </c>
      <c r="AO107">
        <f t="shared" si="33"/>
        <v>0</v>
      </c>
      <c r="AP107">
        <f t="shared" si="33"/>
        <v>0</v>
      </c>
      <c r="AQ107">
        <f t="shared" si="33"/>
        <v>0</v>
      </c>
      <c r="AR107">
        <f t="shared" si="33"/>
        <v>0</v>
      </c>
    </row>
    <row r="108" spans="1:44" hidden="1">
      <c r="G108" s="2" t="s">
        <v>62</v>
      </c>
      <c r="H108" s="2" t="s">
        <v>62</v>
      </c>
      <c r="K108">
        <f>SUMIF($G$1:$G$43,$G108,K$1:K$43)</f>
        <v>150</v>
      </c>
      <c r="P108"/>
      <c r="T108" s="105"/>
      <c r="Y108" s="2"/>
      <c r="AF108">
        <f t="shared" si="33"/>
        <v>0</v>
      </c>
      <c r="AG108">
        <f t="shared" si="33"/>
        <v>0</v>
      </c>
      <c r="AH108">
        <f t="shared" si="33"/>
        <v>125</v>
      </c>
      <c r="AI108">
        <f t="shared" si="33"/>
        <v>0</v>
      </c>
      <c r="AJ108">
        <f t="shared" si="33"/>
        <v>0</v>
      </c>
      <c r="AK108">
        <f t="shared" si="33"/>
        <v>0</v>
      </c>
      <c r="AL108">
        <f t="shared" si="33"/>
        <v>0</v>
      </c>
      <c r="AM108">
        <f t="shared" si="33"/>
        <v>0</v>
      </c>
      <c r="AN108">
        <f t="shared" si="33"/>
        <v>0</v>
      </c>
      <c r="AO108">
        <f t="shared" si="33"/>
        <v>0</v>
      </c>
      <c r="AP108">
        <f t="shared" si="33"/>
        <v>0</v>
      </c>
      <c r="AQ108">
        <f t="shared" si="33"/>
        <v>0</v>
      </c>
      <c r="AR108">
        <f t="shared" si="33"/>
        <v>125</v>
      </c>
    </row>
    <row r="109" spans="1:44" hidden="1"/>
    <row r="110" spans="1:44" hidden="1"/>
    <row r="111" spans="1:44" hidden="1"/>
    <row r="112" spans="1:44" hidden="1"/>
    <row r="113" spans="1:44" hidden="1"/>
    <row r="127" spans="1:44" s="2" customFormat="1">
      <c r="A127"/>
      <c r="B127"/>
      <c r="C127"/>
      <c r="D127"/>
      <c r="E127"/>
      <c r="G127" s="63"/>
      <c r="K127"/>
      <c r="L127"/>
      <c r="M127"/>
      <c r="N127"/>
      <c r="O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</row>
    <row r="151" spans="1:44" s="2" customFormat="1">
      <c r="A151"/>
      <c r="B151"/>
      <c r="C151"/>
      <c r="D151"/>
      <c r="E151"/>
      <c r="G151" s="63"/>
      <c r="K151"/>
      <c r="L151"/>
      <c r="M151"/>
      <c r="N151"/>
      <c r="O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</row>
    <row r="172" spans="1:44">
      <c r="K172" s="54"/>
    </row>
    <row r="175" spans="1:44" s="2" customFormat="1">
      <c r="A175"/>
      <c r="B175"/>
      <c r="C175"/>
      <c r="D175"/>
      <c r="E175"/>
      <c r="G175" s="63"/>
      <c r="K175"/>
      <c r="L175"/>
      <c r="M175"/>
      <c r="N175"/>
      <c r="O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</row>
    <row r="199" spans="1:44" s="2" customFormat="1">
      <c r="A199"/>
      <c r="B199"/>
      <c r="C199"/>
      <c r="D199"/>
      <c r="E199"/>
      <c r="G199" s="63"/>
      <c r="K199"/>
      <c r="L199"/>
      <c r="M199"/>
      <c r="N199"/>
      <c r="O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</row>
    <row r="223" spans="1:44" s="2" customFormat="1">
      <c r="A223"/>
      <c r="B223"/>
      <c r="C223"/>
      <c r="D223"/>
      <c r="E223"/>
      <c r="G223" s="63"/>
      <c r="K223"/>
      <c r="L223"/>
      <c r="M223"/>
      <c r="N223"/>
      <c r="O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</row>
    <row r="247" spans="1:44" s="2" customFormat="1">
      <c r="A247"/>
      <c r="B247"/>
      <c r="C247"/>
      <c r="D247"/>
      <c r="E247"/>
      <c r="G247" s="63"/>
      <c r="K247"/>
      <c r="L247"/>
      <c r="M247"/>
      <c r="N247"/>
      <c r="O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</row>
    <row r="271" spans="1:44" s="2" customFormat="1">
      <c r="A271"/>
      <c r="B271"/>
      <c r="C271"/>
      <c r="D271"/>
      <c r="E271"/>
      <c r="G271" s="63"/>
      <c r="K271"/>
      <c r="L271"/>
      <c r="M271"/>
      <c r="N271"/>
      <c r="O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</row>
    <row r="295" spans="1:44" s="2" customFormat="1">
      <c r="A295"/>
      <c r="B295"/>
      <c r="C295"/>
      <c r="D295"/>
      <c r="E295"/>
      <c r="G295" s="63"/>
      <c r="K295"/>
      <c r="L295"/>
      <c r="M295"/>
      <c r="N295"/>
      <c r="O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</row>
    <row r="319" spans="1:44" s="2" customFormat="1">
      <c r="A319"/>
      <c r="B319"/>
      <c r="C319"/>
      <c r="D319"/>
      <c r="E319"/>
      <c r="G319" s="63"/>
      <c r="K319"/>
      <c r="L319"/>
      <c r="M319"/>
      <c r="N319"/>
      <c r="O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</row>
    <row r="343" spans="1:44" s="2" customFormat="1">
      <c r="A343"/>
      <c r="B343"/>
      <c r="C343"/>
      <c r="D343"/>
      <c r="E343"/>
      <c r="G343" s="63"/>
      <c r="K343"/>
      <c r="L343"/>
      <c r="M343"/>
      <c r="N343"/>
      <c r="O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</row>
    <row r="367" spans="1:44" s="2" customFormat="1">
      <c r="A367"/>
      <c r="B367"/>
      <c r="C367"/>
      <c r="D367"/>
      <c r="E367"/>
      <c r="G367" s="63"/>
      <c r="K367"/>
      <c r="L367"/>
      <c r="M367"/>
      <c r="N367"/>
      <c r="O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</row>
    <row r="391" spans="1:44" s="2" customFormat="1">
      <c r="A391"/>
      <c r="B391"/>
      <c r="C391"/>
      <c r="D391"/>
      <c r="E391"/>
      <c r="G391" s="63"/>
      <c r="K391"/>
      <c r="L391"/>
      <c r="M391"/>
      <c r="N391"/>
      <c r="O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</row>
    <row r="415" spans="1:44" s="2" customFormat="1">
      <c r="A415"/>
      <c r="B415"/>
      <c r="C415"/>
      <c r="D415"/>
      <c r="E415"/>
      <c r="G415" s="63"/>
      <c r="K415"/>
      <c r="L415"/>
      <c r="M415"/>
      <c r="N415"/>
      <c r="O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</row>
    <row r="439" spans="1:44" s="2" customFormat="1">
      <c r="A439"/>
      <c r="B439"/>
      <c r="C439"/>
      <c r="D439"/>
      <c r="E439"/>
      <c r="G439" s="63"/>
      <c r="K439"/>
      <c r="L439"/>
      <c r="M439"/>
      <c r="N439"/>
      <c r="O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</row>
    <row r="463" spans="1:44" s="2" customFormat="1">
      <c r="A463"/>
      <c r="B463"/>
      <c r="C463"/>
      <c r="D463"/>
      <c r="E463"/>
      <c r="G463" s="63"/>
      <c r="K463"/>
      <c r="L463"/>
      <c r="M463"/>
      <c r="N463"/>
      <c r="O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</row>
    <row r="487" spans="1:44" s="2" customFormat="1">
      <c r="A487"/>
      <c r="B487"/>
      <c r="C487"/>
      <c r="D487"/>
      <c r="E487"/>
      <c r="G487" s="63"/>
      <c r="K487"/>
      <c r="L487"/>
      <c r="M487"/>
      <c r="N487"/>
      <c r="O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</row>
    <row r="511" spans="1:44" s="2" customFormat="1">
      <c r="A511"/>
      <c r="B511"/>
      <c r="C511"/>
      <c r="D511"/>
      <c r="E511"/>
      <c r="G511" s="63"/>
      <c r="K511"/>
      <c r="L511"/>
      <c r="M511"/>
      <c r="N511"/>
      <c r="O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</row>
    <row r="535" spans="1:44" s="2" customFormat="1">
      <c r="A535"/>
      <c r="B535"/>
      <c r="C535"/>
      <c r="D535"/>
      <c r="E535"/>
      <c r="G535" s="63"/>
      <c r="K535"/>
      <c r="L535"/>
      <c r="M535"/>
      <c r="N535"/>
      <c r="O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</row>
  </sheetData>
  <autoFilter ref="A22:AR44" xr:uid="{9FEB6540-C258-42A5-B27F-4341F96342BE}"/>
  <mergeCells count="16">
    <mergeCell ref="AH2:AL2"/>
    <mergeCell ref="AP2:AQ2"/>
    <mergeCell ref="L47:L48"/>
    <mergeCell ref="M47:M48"/>
    <mergeCell ref="AO47:AQ47"/>
    <mergeCell ref="O47:O48"/>
    <mergeCell ref="P47:P48"/>
    <mergeCell ref="AF47:AH47"/>
    <mergeCell ref="AI47:AK47"/>
    <mergeCell ref="AL47:AN47"/>
    <mergeCell ref="AF48:AQ48"/>
    <mergeCell ref="A11:H11"/>
    <mergeCell ref="A44:H44"/>
    <mergeCell ref="A46:H46"/>
    <mergeCell ref="A47:H48"/>
    <mergeCell ref="K47:K48"/>
  </mergeCells>
  <conditionalFormatting sqref="Y4:Y10">
    <cfRule type="duplicateValues" dxfId="6" priority="230"/>
  </conditionalFormatting>
  <conditionalFormatting sqref="Y14:Y18">
    <cfRule type="duplicateValues" dxfId="5" priority="2"/>
  </conditionalFormatting>
  <conditionalFormatting sqref="Y23:Y43">
    <cfRule type="duplicateValues" dxfId="4" priority="245"/>
  </conditionalFormatting>
  <conditionalFormatting sqref="Y51:Y55">
    <cfRule type="duplicateValues" dxfId="3" priority="5"/>
  </conditionalFormatting>
  <conditionalFormatting sqref="Y59:Y63">
    <cfRule type="duplicateValues" dxfId="2" priority="1"/>
  </conditionalFormatting>
  <printOptions horizontalCentered="1"/>
  <pageMargins left="0.11811023622047245" right="0.31496062992125984" top="0.74803149606299213" bottom="0.74803149606299213" header="0.31496062992125984" footer="0.31496062992125984"/>
  <pageSetup paperSize="8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5143-DF77-4472-9413-4F21574DD9B0}">
  <sheetPr codeName="Sheet3">
    <pageSetUpPr fitToPage="1"/>
  </sheetPr>
  <dimension ref="A1:AQ40"/>
  <sheetViews>
    <sheetView showZeros="0" topLeftCell="A3" zoomScale="85" zoomScaleNormal="85" zoomScaleSheetLayoutView="70" workbookViewId="0">
      <selection activeCell="A35" sqref="A35:H35"/>
    </sheetView>
  </sheetViews>
  <sheetFormatPr defaultColWidth="9.28515625" defaultRowHeight="13.5"/>
  <cols>
    <col min="1" max="1" width="7.140625" customWidth="1"/>
    <col min="2" max="2" width="21.28515625" customWidth="1"/>
    <col min="4" max="4" width="11.140625" customWidth="1"/>
    <col min="5" max="5" width="12.5703125" hidden="1" customWidth="1"/>
    <col min="6" max="6" width="13.28515625" style="2" bestFit="1" customWidth="1"/>
    <col min="7" max="7" width="11.42578125" style="2" customWidth="1"/>
    <col min="8" max="10" width="7.5703125" style="2" customWidth="1"/>
    <col min="11" max="11" width="7.85546875" customWidth="1"/>
    <col min="12" max="12" width="5.28515625" customWidth="1"/>
    <col min="13" max="13" width="8.85546875" customWidth="1"/>
    <col min="14" max="14" width="9.28515625" customWidth="1"/>
    <col min="15" max="15" width="12.140625" style="2" hidden="1" customWidth="1"/>
    <col min="16" max="16" width="10.5703125" style="2" hidden="1" customWidth="1"/>
    <col min="17" max="17" width="13.28515625" style="2" hidden="1" customWidth="1"/>
    <col min="18" max="18" width="16.5703125" style="2" hidden="1" customWidth="1"/>
    <col min="19" max="19" width="14.42578125" style="2" hidden="1" customWidth="1"/>
    <col min="20" max="20" width="12" style="2" hidden="1" customWidth="1"/>
    <col min="21" max="23" width="8.85546875" style="2" hidden="1" customWidth="1"/>
    <col min="24" max="30" width="8.85546875" hidden="1" customWidth="1"/>
    <col min="31" max="37" width="7" customWidth="1"/>
    <col min="38" max="41" width="7.42578125" customWidth="1"/>
    <col min="42" max="43" width="7.5703125" customWidth="1"/>
  </cols>
  <sheetData>
    <row r="1" spans="1:43">
      <c r="G1"/>
      <c r="AQ1" s="115"/>
    </row>
    <row r="2" spans="1:43" ht="18.75">
      <c r="A2" s="12" t="s">
        <v>0</v>
      </c>
      <c r="B2" s="3"/>
      <c r="C2" s="3"/>
      <c r="D2" s="3"/>
      <c r="E2" s="3"/>
      <c r="F2" s="3"/>
      <c r="G2" s="3"/>
      <c r="H2" s="3"/>
      <c r="I2" s="3"/>
      <c r="J2" s="3"/>
      <c r="K2" s="56"/>
      <c r="L2" s="56"/>
      <c r="M2" s="64"/>
      <c r="N2" s="56"/>
      <c r="O2" s="57"/>
      <c r="P2" s="57"/>
      <c r="Q2" s="57"/>
      <c r="R2" s="57"/>
      <c r="S2" s="57"/>
      <c r="T2" s="57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221"/>
      <c r="AH2" s="221"/>
      <c r="AI2" s="577" t="s">
        <v>1</v>
      </c>
      <c r="AJ2" s="577"/>
      <c r="AK2" s="577"/>
      <c r="AL2" s="577"/>
      <c r="AM2" s="577"/>
      <c r="AN2" s="221"/>
      <c r="AO2" s="578">
        <v>45840</v>
      </c>
      <c r="AP2" s="578"/>
      <c r="AQ2" s="45"/>
    </row>
    <row r="3" spans="1:43" ht="56.25" customHeight="1">
      <c r="A3" s="24" t="s">
        <v>2</v>
      </c>
      <c r="B3" s="25" t="s">
        <v>3</v>
      </c>
      <c r="C3" s="25" t="s">
        <v>4</v>
      </c>
      <c r="D3" s="26" t="s">
        <v>5</v>
      </c>
      <c r="E3" s="25" t="s">
        <v>6</v>
      </c>
      <c r="F3" s="25" t="s">
        <v>7</v>
      </c>
      <c r="G3" s="25" t="s">
        <v>7</v>
      </c>
      <c r="H3" s="25" t="s">
        <v>8</v>
      </c>
      <c r="I3" s="25" t="s">
        <v>9</v>
      </c>
      <c r="J3" s="25" t="s">
        <v>10</v>
      </c>
      <c r="K3" s="25" t="s">
        <v>11</v>
      </c>
      <c r="L3" s="25" t="s">
        <v>12</v>
      </c>
      <c r="M3" s="25" t="s">
        <v>13</v>
      </c>
      <c r="N3" s="25" t="s">
        <v>14</v>
      </c>
      <c r="O3" s="25" t="s">
        <v>15</v>
      </c>
      <c r="P3" s="25" t="s">
        <v>16</v>
      </c>
      <c r="Q3" s="25" t="s">
        <v>17</v>
      </c>
      <c r="R3" s="25" t="s">
        <v>18</v>
      </c>
      <c r="S3" s="25" t="s">
        <v>19</v>
      </c>
      <c r="T3" s="58" t="s">
        <v>20</v>
      </c>
      <c r="U3" s="25" t="s">
        <v>21</v>
      </c>
      <c r="V3" s="25" t="s">
        <v>22</v>
      </c>
      <c r="W3" s="25" t="s">
        <v>23</v>
      </c>
      <c r="X3" s="25" t="s">
        <v>24</v>
      </c>
      <c r="Y3" s="25" t="s">
        <v>25</v>
      </c>
      <c r="Z3" s="25" t="s">
        <v>17</v>
      </c>
      <c r="AA3" s="25" t="s">
        <v>26</v>
      </c>
      <c r="AB3" s="25" t="s">
        <v>27</v>
      </c>
      <c r="AC3" s="27"/>
      <c r="AD3" s="25" t="s">
        <v>28</v>
      </c>
      <c r="AE3" s="40">
        <v>45748</v>
      </c>
      <c r="AF3" s="40">
        <v>45778</v>
      </c>
      <c r="AG3" s="40">
        <v>45809</v>
      </c>
      <c r="AH3" s="40">
        <v>45839</v>
      </c>
      <c r="AI3" s="40">
        <v>45870</v>
      </c>
      <c r="AJ3" s="40">
        <v>45901</v>
      </c>
      <c r="AK3" s="40">
        <v>45931</v>
      </c>
      <c r="AL3" s="40">
        <v>45962</v>
      </c>
      <c r="AM3" s="40">
        <v>45992</v>
      </c>
      <c r="AN3" s="40">
        <v>46023</v>
      </c>
      <c r="AO3" s="40">
        <v>46054</v>
      </c>
      <c r="AP3" s="40">
        <v>46082</v>
      </c>
      <c r="AQ3" s="40" t="s">
        <v>29</v>
      </c>
    </row>
    <row r="4" spans="1:43" s="3" customFormat="1" ht="18.75" customHeight="1">
      <c r="A4" s="9">
        <v>10</v>
      </c>
      <c r="B4" s="16" t="s">
        <v>30</v>
      </c>
      <c r="C4" s="16" t="s">
        <v>31</v>
      </c>
      <c r="D4" s="7" t="s">
        <v>32</v>
      </c>
      <c r="E4" s="16"/>
      <c r="F4" s="16" t="s">
        <v>33</v>
      </c>
      <c r="G4" s="13" t="s">
        <v>33</v>
      </c>
      <c r="H4" s="7" t="s">
        <v>34</v>
      </c>
      <c r="I4" s="7"/>
      <c r="J4" s="7"/>
      <c r="K4" s="7">
        <v>250</v>
      </c>
      <c r="L4" s="7">
        <v>1.37</v>
      </c>
      <c r="M4" s="5">
        <v>548</v>
      </c>
      <c r="N4" s="7" t="s">
        <v>35</v>
      </c>
      <c r="O4" s="17" t="s">
        <v>36</v>
      </c>
      <c r="P4" s="17"/>
      <c r="Q4" s="17"/>
      <c r="R4" s="17" t="s">
        <v>37</v>
      </c>
      <c r="S4" s="116">
        <v>45717</v>
      </c>
      <c r="T4" s="117"/>
      <c r="U4" s="16"/>
      <c r="V4" s="18"/>
      <c r="W4" s="14"/>
      <c r="X4" s="13"/>
      <c r="Y4" s="16"/>
      <c r="Z4" s="16"/>
      <c r="AA4" s="16"/>
      <c r="AB4" s="16"/>
      <c r="AC4" s="19"/>
      <c r="AD4" s="19"/>
      <c r="AE4" s="96"/>
      <c r="AF4" s="96">
        <v>75</v>
      </c>
      <c r="AG4" s="96">
        <v>50</v>
      </c>
      <c r="AH4" s="7">
        <v>50</v>
      </c>
      <c r="AI4" s="7">
        <v>75</v>
      </c>
      <c r="AJ4" s="7">
        <v>0</v>
      </c>
      <c r="AK4" s="7">
        <v>0</v>
      </c>
      <c r="AL4" s="7"/>
      <c r="AM4" s="7"/>
      <c r="AN4" s="7"/>
      <c r="AO4" s="7"/>
      <c r="AP4" s="8"/>
      <c r="AQ4" s="118">
        <f t="shared" ref="AQ4:AQ11" si="0">SUM(AE4:AP4)</f>
        <v>250</v>
      </c>
    </row>
    <row r="5" spans="1:43" s="3" customFormat="1" ht="18.75" customHeight="1">
      <c r="A5" s="9">
        <v>11</v>
      </c>
      <c r="B5" s="16" t="s">
        <v>41</v>
      </c>
      <c r="C5" s="16" t="s">
        <v>42</v>
      </c>
      <c r="D5" s="7" t="s">
        <v>43</v>
      </c>
      <c r="E5" s="16"/>
      <c r="F5" s="16" t="s">
        <v>44</v>
      </c>
      <c r="G5" s="13" t="s">
        <v>44</v>
      </c>
      <c r="H5" s="7" t="s">
        <v>34</v>
      </c>
      <c r="I5" s="7"/>
      <c r="J5" s="7"/>
      <c r="K5" s="7">
        <v>50</v>
      </c>
      <c r="L5" s="7">
        <v>1.36</v>
      </c>
      <c r="M5" s="5">
        <v>680</v>
      </c>
      <c r="N5" s="7" t="s">
        <v>45</v>
      </c>
      <c r="O5" s="17" t="s">
        <v>36</v>
      </c>
      <c r="P5" s="17"/>
      <c r="Q5" s="17"/>
      <c r="R5" s="117" t="s">
        <v>46</v>
      </c>
      <c r="S5" s="116">
        <v>45717</v>
      </c>
      <c r="T5" s="117"/>
      <c r="U5" s="16"/>
      <c r="V5" s="18"/>
      <c r="W5" s="14"/>
      <c r="X5" s="13"/>
      <c r="Y5" s="16"/>
      <c r="Z5" s="16"/>
      <c r="AA5" s="16"/>
      <c r="AB5" s="16"/>
      <c r="AC5" s="19"/>
      <c r="AD5" s="19"/>
      <c r="AE5" s="96"/>
      <c r="AF5" s="96">
        <v>50</v>
      </c>
      <c r="AG5" s="96">
        <v>0</v>
      </c>
      <c r="AH5" s="7">
        <v>0</v>
      </c>
      <c r="AI5" s="7">
        <v>0</v>
      </c>
      <c r="AJ5" s="7">
        <v>0</v>
      </c>
      <c r="AK5" s="7">
        <v>0</v>
      </c>
      <c r="AL5" s="7"/>
      <c r="AM5" s="7"/>
      <c r="AN5" s="7"/>
      <c r="AO5" s="7"/>
      <c r="AP5" s="8"/>
      <c r="AQ5" s="118">
        <f t="shared" si="0"/>
        <v>50</v>
      </c>
    </row>
    <row r="6" spans="1:43" s="3" customFormat="1" ht="18.75" customHeight="1">
      <c r="A6" s="9">
        <v>12</v>
      </c>
      <c r="B6" s="16" t="s">
        <v>41</v>
      </c>
      <c r="C6" s="16" t="s">
        <v>42</v>
      </c>
      <c r="D6" s="7" t="s">
        <v>47</v>
      </c>
      <c r="E6" s="16"/>
      <c r="F6" s="16" t="s">
        <v>44</v>
      </c>
      <c r="G6" s="13" t="s">
        <v>44</v>
      </c>
      <c r="H6" s="7" t="s">
        <v>34</v>
      </c>
      <c r="I6" s="7"/>
      <c r="J6" s="7"/>
      <c r="K6" s="7">
        <v>187.5</v>
      </c>
      <c r="L6" s="7">
        <v>1.35</v>
      </c>
      <c r="M6" s="5">
        <f>L6*K6</f>
        <v>253.12500000000003</v>
      </c>
      <c r="N6" s="7" t="s">
        <v>45</v>
      </c>
      <c r="O6" s="17" t="s">
        <v>36</v>
      </c>
      <c r="P6" s="17"/>
      <c r="Q6" s="17"/>
      <c r="R6" s="117" t="s">
        <v>48</v>
      </c>
      <c r="S6" s="116">
        <v>45717</v>
      </c>
      <c r="T6" s="117"/>
      <c r="U6" s="16"/>
      <c r="V6" s="18"/>
      <c r="W6" s="14"/>
      <c r="X6" s="13"/>
      <c r="Y6" s="16"/>
      <c r="Z6" s="16"/>
      <c r="AA6" s="16"/>
      <c r="AB6" s="16"/>
      <c r="AC6" s="19"/>
      <c r="AD6" s="19"/>
      <c r="AE6" s="96">
        <v>75</v>
      </c>
      <c r="AF6" s="96">
        <v>112.5</v>
      </c>
      <c r="AG6" s="96">
        <v>0</v>
      </c>
      <c r="AH6" s="7"/>
      <c r="AI6" s="7"/>
      <c r="AJ6" s="7"/>
      <c r="AK6" s="7">
        <v>0</v>
      </c>
      <c r="AL6" s="7"/>
      <c r="AM6" s="7"/>
      <c r="AN6" s="7"/>
      <c r="AO6" s="7"/>
      <c r="AP6" s="8"/>
      <c r="AQ6" s="118">
        <f t="shared" si="0"/>
        <v>187.5</v>
      </c>
    </row>
    <row r="7" spans="1:43" s="3" customFormat="1" ht="18.75" customHeight="1">
      <c r="A7" s="9">
        <v>13</v>
      </c>
      <c r="B7" s="16" t="s">
        <v>30</v>
      </c>
      <c r="C7" s="16" t="s">
        <v>31</v>
      </c>
      <c r="D7" s="7" t="s">
        <v>38</v>
      </c>
      <c r="E7" s="16"/>
      <c r="F7" s="16" t="s">
        <v>33</v>
      </c>
      <c r="G7" s="13" t="s">
        <v>33</v>
      </c>
      <c r="H7" s="7" t="s">
        <v>34</v>
      </c>
      <c r="I7" s="7"/>
      <c r="J7" s="7"/>
      <c r="K7" s="7">
        <v>350</v>
      </c>
      <c r="L7" s="7">
        <v>1.37</v>
      </c>
      <c r="M7" s="5">
        <v>308.25</v>
      </c>
      <c r="N7" s="7" t="s">
        <v>39</v>
      </c>
      <c r="O7" s="17" t="s">
        <v>36</v>
      </c>
      <c r="P7" s="17"/>
      <c r="Q7" s="17"/>
      <c r="R7" s="117" t="s">
        <v>40</v>
      </c>
      <c r="S7" s="116">
        <v>45717</v>
      </c>
      <c r="T7" s="117"/>
      <c r="U7" s="16"/>
      <c r="V7" s="18"/>
      <c r="W7" s="14"/>
      <c r="X7" s="13"/>
      <c r="Y7" s="16"/>
      <c r="Z7" s="16"/>
      <c r="AA7" s="16"/>
      <c r="AB7" s="16"/>
      <c r="AC7" s="19"/>
      <c r="AD7" s="19"/>
      <c r="AE7" s="96"/>
      <c r="AF7" s="96">
        <v>50</v>
      </c>
      <c r="AG7" s="96">
        <v>175</v>
      </c>
      <c r="AH7" s="7">
        <v>0</v>
      </c>
      <c r="AI7" s="7">
        <v>75</v>
      </c>
      <c r="AJ7" s="7">
        <v>50</v>
      </c>
      <c r="AK7" s="7">
        <v>0</v>
      </c>
      <c r="AL7" s="7"/>
      <c r="AM7" s="7"/>
      <c r="AN7" s="7"/>
      <c r="AO7" s="7"/>
      <c r="AP7" s="8"/>
      <c r="AQ7" s="118">
        <f t="shared" si="0"/>
        <v>350</v>
      </c>
    </row>
    <row r="8" spans="1:43" s="3" customFormat="1" ht="18.75" customHeight="1">
      <c r="A8" s="9">
        <v>14</v>
      </c>
      <c r="B8" s="16" t="s">
        <v>49</v>
      </c>
      <c r="C8" s="16" t="s">
        <v>50</v>
      </c>
      <c r="D8" s="7" t="s">
        <v>51</v>
      </c>
      <c r="E8" s="16"/>
      <c r="F8" s="16" t="s">
        <v>44</v>
      </c>
      <c r="G8" s="13" t="s">
        <v>44</v>
      </c>
      <c r="H8" s="7" t="s">
        <v>52</v>
      </c>
      <c r="I8" s="7"/>
      <c r="J8" s="7"/>
      <c r="K8" s="7">
        <v>570</v>
      </c>
      <c r="L8" s="7">
        <v>1.4</v>
      </c>
      <c r="M8" s="5">
        <v>798</v>
      </c>
      <c r="N8" s="7" t="s">
        <v>53</v>
      </c>
      <c r="O8" s="17" t="s">
        <v>36</v>
      </c>
      <c r="P8" s="17"/>
      <c r="Q8" s="17"/>
      <c r="R8" s="117" t="s">
        <v>54</v>
      </c>
      <c r="S8" s="116">
        <v>45717</v>
      </c>
      <c r="T8" s="117"/>
      <c r="U8" s="16"/>
      <c r="V8" s="18"/>
      <c r="W8" s="14"/>
      <c r="X8" s="13"/>
      <c r="Y8" s="16"/>
      <c r="Z8" s="16"/>
      <c r="AA8" s="16"/>
      <c r="AB8" s="16"/>
      <c r="AC8" s="19"/>
      <c r="AD8" s="19"/>
      <c r="AE8" s="96">
        <v>145</v>
      </c>
      <c r="AF8" s="96"/>
      <c r="AG8" s="96">
        <v>150</v>
      </c>
      <c r="AH8" s="7">
        <v>75</v>
      </c>
      <c r="AI8" s="7"/>
      <c r="AJ8" s="7">
        <v>50</v>
      </c>
      <c r="AK8" s="7">
        <v>50</v>
      </c>
      <c r="AL8" s="7">
        <v>100</v>
      </c>
      <c r="AM8" s="7"/>
      <c r="AN8" s="7"/>
      <c r="AO8" s="7"/>
      <c r="AP8" s="8"/>
      <c r="AQ8" s="118">
        <f t="shared" si="0"/>
        <v>570</v>
      </c>
    </row>
    <row r="9" spans="1:43" s="3" customFormat="1" ht="18.75" customHeight="1">
      <c r="A9" s="9">
        <v>15</v>
      </c>
      <c r="B9" s="16" t="s">
        <v>30</v>
      </c>
      <c r="C9" s="16" t="s">
        <v>55</v>
      </c>
      <c r="D9" s="7" t="s">
        <v>56</v>
      </c>
      <c r="E9" s="16"/>
      <c r="F9" s="16" t="s">
        <v>33</v>
      </c>
      <c r="G9" s="13" t="s">
        <v>33</v>
      </c>
      <c r="H9" s="7" t="s">
        <v>34</v>
      </c>
      <c r="I9" s="7"/>
      <c r="J9" s="7"/>
      <c r="K9" s="7">
        <v>250</v>
      </c>
      <c r="L9" s="7">
        <v>1.37</v>
      </c>
      <c r="M9" s="5">
        <v>342.5</v>
      </c>
      <c r="N9" s="7" t="s">
        <v>53</v>
      </c>
      <c r="O9" s="17" t="s">
        <v>36</v>
      </c>
      <c r="P9" s="17"/>
      <c r="Q9" s="17"/>
      <c r="R9" s="117" t="s">
        <v>54</v>
      </c>
      <c r="S9" s="116">
        <v>45717</v>
      </c>
      <c r="T9" s="117"/>
      <c r="U9" s="16"/>
      <c r="V9" s="18"/>
      <c r="W9" s="14"/>
      <c r="X9" s="13"/>
      <c r="Y9" s="16"/>
      <c r="Z9" s="16"/>
      <c r="AA9" s="16"/>
      <c r="AB9" s="16"/>
      <c r="AC9" s="19"/>
      <c r="AD9" s="19"/>
      <c r="AE9" s="96">
        <v>50</v>
      </c>
      <c r="AF9" s="96"/>
      <c r="AG9" s="96">
        <v>125</v>
      </c>
      <c r="AH9" s="7"/>
      <c r="AI9" s="7">
        <v>75</v>
      </c>
      <c r="AJ9" s="7">
        <v>0</v>
      </c>
      <c r="AK9" s="7">
        <v>0</v>
      </c>
      <c r="AL9" s="7"/>
      <c r="AM9" s="7"/>
      <c r="AN9" s="7"/>
      <c r="AO9" s="7"/>
      <c r="AP9" s="8"/>
      <c r="AQ9" s="118">
        <f t="shared" si="0"/>
        <v>250</v>
      </c>
    </row>
    <row r="10" spans="1:43" s="3" customFormat="1" ht="18.75" customHeight="1">
      <c r="A10" s="9">
        <v>16</v>
      </c>
      <c r="B10" s="16" t="s">
        <v>57</v>
      </c>
      <c r="C10" s="16" t="s">
        <v>31</v>
      </c>
      <c r="D10" s="7" t="s">
        <v>58</v>
      </c>
      <c r="E10" s="16"/>
      <c r="F10" s="16" t="s">
        <v>44</v>
      </c>
      <c r="G10" s="13" t="s">
        <v>44</v>
      </c>
      <c r="H10" s="7" t="s">
        <v>34</v>
      </c>
      <c r="I10" s="7"/>
      <c r="J10" s="7"/>
      <c r="K10" s="7">
        <v>500</v>
      </c>
      <c r="L10" s="7">
        <v>1.37</v>
      </c>
      <c r="M10" s="5">
        <v>685</v>
      </c>
      <c r="N10" s="7" t="s">
        <v>59</v>
      </c>
      <c r="O10" s="17" t="s">
        <v>36</v>
      </c>
      <c r="P10" s="17"/>
      <c r="Q10" s="17"/>
      <c r="R10" s="117" t="s">
        <v>60</v>
      </c>
      <c r="S10" s="116">
        <v>45717</v>
      </c>
      <c r="T10" s="117"/>
      <c r="U10" s="16"/>
      <c r="V10" s="18"/>
      <c r="W10" s="14"/>
      <c r="X10" s="13"/>
      <c r="Y10" s="16"/>
      <c r="Z10" s="16"/>
      <c r="AA10" s="16"/>
      <c r="AB10" s="16"/>
      <c r="AC10" s="19"/>
      <c r="AD10" s="19"/>
      <c r="AE10" s="96">
        <v>100</v>
      </c>
      <c r="AF10" s="96"/>
      <c r="AG10" s="96">
        <v>137.5</v>
      </c>
      <c r="AH10" s="7">
        <v>112.5</v>
      </c>
      <c r="AI10" s="7"/>
      <c r="AJ10" s="7">
        <v>50</v>
      </c>
      <c r="AK10" s="7">
        <v>50</v>
      </c>
      <c r="AL10" s="7">
        <v>50</v>
      </c>
      <c r="AM10" s="7"/>
      <c r="AN10" s="7"/>
      <c r="AO10" s="7"/>
      <c r="AP10" s="8"/>
      <c r="AQ10" s="118">
        <f t="shared" si="0"/>
        <v>500</v>
      </c>
    </row>
    <row r="11" spans="1:43" s="11" customFormat="1" ht="17.25" customHeight="1">
      <c r="A11" s="570" t="s">
        <v>61</v>
      </c>
      <c r="B11" s="570"/>
      <c r="C11" s="570"/>
      <c r="D11" s="570"/>
      <c r="E11" s="570"/>
      <c r="F11" s="570"/>
      <c r="G11" s="570"/>
      <c r="H11" s="570"/>
      <c r="I11" s="113"/>
      <c r="J11" s="113"/>
      <c r="K11" s="31">
        <v>4045</v>
      </c>
      <c r="L11" s="29"/>
      <c r="M11" s="31">
        <f>SUM(M4:M10)</f>
        <v>3614.875</v>
      </c>
      <c r="N11" s="29"/>
      <c r="O11" s="30"/>
      <c r="P11" s="30"/>
      <c r="Q11" s="30"/>
      <c r="R11" s="30"/>
      <c r="S11" s="30"/>
      <c r="T11" s="30"/>
      <c r="U11" s="30"/>
      <c r="V11" s="30"/>
      <c r="W11" s="30"/>
      <c r="X11" s="29"/>
      <c r="Y11" s="29"/>
      <c r="Z11" s="29"/>
      <c r="AA11" s="29"/>
      <c r="AB11" s="29"/>
      <c r="AC11" s="29"/>
      <c r="AD11" s="29"/>
      <c r="AE11" s="179">
        <f t="shared" ref="AE11:AL11" si="1">SUM(AE4:AE10)</f>
        <v>370</v>
      </c>
      <c r="AF11" s="179">
        <f t="shared" si="1"/>
        <v>287.5</v>
      </c>
      <c r="AG11" s="179">
        <f t="shared" si="1"/>
        <v>637.5</v>
      </c>
      <c r="AH11" s="31">
        <f t="shared" si="1"/>
        <v>237.5</v>
      </c>
      <c r="AI11" s="31">
        <f t="shared" si="1"/>
        <v>225</v>
      </c>
      <c r="AJ11" s="31">
        <f t="shared" si="1"/>
        <v>150</v>
      </c>
      <c r="AK11" s="31">
        <f t="shared" si="1"/>
        <v>100</v>
      </c>
      <c r="AL11" s="31">
        <f t="shared" si="1"/>
        <v>150</v>
      </c>
      <c r="AM11" s="29"/>
      <c r="AN11" s="29"/>
      <c r="AO11" s="29"/>
      <c r="AP11" s="29"/>
      <c r="AQ11" s="29">
        <f t="shared" si="0"/>
        <v>2157.5</v>
      </c>
    </row>
    <row r="12" spans="1:43" ht="29.25" customHeight="1">
      <c r="A12" s="12" t="s">
        <v>65</v>
      </c>
      <c r="AG12" t="s">
        <v>66</v>
      </c>
      <c r="AN12" s="46"/>
      <c r="AO12" s="44"/>
      <c r="AP12" s="45"/>
      <c r="AQ12" s="45"/>
    </row>
    <row r="13" spans="1:43" ht="60" customHeight="1">
      <c r="A13" s="24" t="s">
        <v>2</v>
      </c>
      <c r="B13" s="25" t="s">
        <v>3</v>
      </c>
      <c r="C13" s="25" t="s">
        <v>4</v>
      </c>
      <c r="D13" s="26" t="s">
        <v>5</v>
      </c>
      <c r="E13" s="25" t="s">
        <v>6</v>
      </c>
      <c r="F13" s="25" t="s">
        <v>7</v>
      </c>
      <c r="G13" s="25" t="s">
        <v>7</v>
      </c>
      <c r="H13" s="25" t="s">
        <v>8</v>
      </c>
      <c r="I13" s="25" t="s">
        <v>9</v>
      </c>
      <c r="J13" s="25" t="s">
        <v>10</v>
      </c>
      <c r="K13" s="25" t="s">
        <v>11</v>
      </c>
      <c r="L13" s="25" t="s">
        <v>12</v>
      </c>
      <c r="M13" s="25" t="s">
        <v>13</v>
      </c>
      <c r="N13" s="25" t="s">
        <v>14</v>
      </c>
      <c r="O13" s="25" t="s">
        <v>15</v>
      </c>
      <c r="P13" s="25" t="s">
        <v>16</v>
      </c>
      <c r="Q13" s="25" t="s">
        <v>17</v>
      </c>
      <c r="R13" s="25" t="s">
        <v>18</v>
      </c>
      <c r="S13" s="25" t="s">
        <v>19</v>
      </c>
      <c r="T13" s="58" t="s">
        <v>20</v>
      </c>
      <c r="U13" s="25" t="s">
        <v>21</v>
      </c>
      <c r="V13" s="25" t="s">
        <v>22</v>
      </c>
      <c r="W13" s="25" t="s">
        <v>23</v>
      </c>
      <c r="X13" s="25" t="s">
        <v>24</v>
      </c>
      <c r="Y13" s="25" t="s">
        <v>25</v>
      </c>
      <c r="Z13" s="25" t="s">
        <v>17</v>
      </c>
      <c r="AA13" s="25" t="s">
        <v>26</v>
      </c>
      <c r="AB13" s="25" t="s">
        <v>27</v>
      </c>
      <c r="AC13" s="27"/>
      <c r="AD13" s="25" t="s">
        <v>28</v>
      </c>
      <c r="AE13" s="40">
        <v>45748</v>
      </c>
      <c r="AF13" s="40">
        <v>45778</v>
      </c>
      <c r="AG13" s="40">
        <v>45809</v>
      </c>
      <c r="AH13" s="40">
        <v>45839</v>
      </c>
      <c r="AI13" s="40">
        <v>45870</v>
      </c>
      <c r="AJ13" s="40">
        <v>45901</v>
      </c>
      <c r="AK13" s="40">
        <v>45931</v>
      </c>
      <c r="AL13" s="40">
        <v>45962</v>
      </c>
      <c r="AM13" s="40">
        <v>45992</v>
      </c>
      <c r="AN13" s="40">
        <v>46023</v>
      </c>
      <c r="AO13" s="40">
        <v>46054</v>
      </c>
      <c r="AP13" s="79">
        <v>46082</v>
      </c>
      <c r="AQ13" s="79"/>
    </row>
    <row r="14" spans="1:43" s="3" customFormat="1" ht="18.75" customHeight="1">
      <c r="A14" s="123" t="s">
        <v>68</v>
      </c>
      <c r="B14" s="124" t="s">
        <v>69</v>
      </c>
      <c r="C14" s="124" t="s">
        <v>70</v>
      </c>
      <c r="D14" s="125" t="s">
        <v>71</v>
      </c>
      <c r="E14" s="124" t="s">
        <v>72</v>
      </c>
      <c r="F14" s="124" t="s">
        <v>73</v>
      </c>
      <c r="G14" s="126" t="s">
        <v>33</v>
      </c>
      <c r="H14" s="125" t="s">
        <v>34</v>
      </c>
      <c r="I14" s="125" t="s">
        <v>74</v>
      </c>
      <c r="J14" s="125">
        <v>580</v>
      </c>
      <c r="K14" s="125">
        <f t="shared" ref="K14:K28" si="2">SUM(AE14:AP14)</f>
        <v>25</v>
      </c>
      <c r="L14" s="125">
        <v>1.35</v>
      </c>
      <c r="M14" s="127">
        <f t="shared" ref="M14:M28" si="3">L14*K14</f>
        <v>33.75</v>
      </c>
      <c r="N14" s="125" t="s">
        <v>75</v>
      </c>
      <c r="O14" s="128">
        <v>45767</v>
      </c>
      <c r="P14" s="128" t="s">
        <v>76</v>
      </c>
      <c r="Q14" s="128">
        <v>45838</v>
      </c>
      <c r="R14" s="129" t="s">
        <v>77</v>
      </c>
      <c r="S14" s="130">
        <v>45838</v>
      </c>
      <c r="T14" s="129">
        <v>45615</v>
      </c>
      <c r="U14" s="124" t="s">
        <v>78</v>
      </c>
      <c r="V14" s="131">
        <v>45747</v>
      </c>
      <c r="W14" s="132"/>
      <c r="X14" s="126"/>
      <c r="Y14" s="124"/>
      <c r="Z14" s="124"/>
      <c r="AA14" s="124"/>
      <c r="AB14" s="124"/>
      <c r="AC14" s="133"/>
      <c r="AD14" s="133"/>
      <c r="AE14" s="125"/>
      <c r="AF14" s="125"/>
      <c r="AG14" s="134"/>
      <c r="AH14" s="134">
        <v>25</v>
      </c>
      <c r="AI14" s="125">
        <v>0</v>
      </c>
      <c r="AJ14" s="125">
        <v>0</v>
      </c>
      <c r="AK14" s="125">
        <v>0</v>
      </c>
      <c r="AL14" s="125">
        <v>0</v>
      </c>
      <c r="AM14" s="125">
        <v>0</v>
      </c>
      <c r="AN14" s="125"/>
      <c r="AO14" s="125"/>
      <c r="AP14" s="135"/>
      <c r="AQ14" s="136">
        <f t="shared" ref="AQ14:AQ34" si="4">SUM(AE14:AP14)</f>
        <v>25</v>
      </c>
    </row>
    <row r="15" spans="1:43" s="3" customFormat="1" ht="18.75" customHeight="1">
      <c r="A15" s="123" t="s">
        <v>79</v>
      </c>
      <c r="B15" s="124" t="s">
        <v>30</v>
      </c>
      <c r="C15" s="124" t="s">
        <v>80</v>
      </c>
      <c r="D15" s="125" t="s">
        <v>71</v>
      </c>
      <c r="E15" s="124" t="s">
        <v>81</v>
      </c>
      <c r="F15" s="124" t="s">
        <v>82</v>
      </c>
      <c r="G15" s="126" t="s">
        <v>33</v>
      </c>
      <c r="H15" s="125" t="s">
        <v>34</v>
      </c>
      <c r="I15" s="125" t="s">
        <v>74</v>
      </c>
      <c r="J15" s="125">
        <v>580</v>
      </c>
      <c r="K15" s="134">
        <f t="shared" si="2"/>
        <v>35</v>
      </c>
      <c r="L15" s="125">
        <v>1.35</v>
      </c>
      <c r="M15" s="127">
        <f t="shared" si="3"/>
        <v>47.25</v>
      </c>
      <c r="N15" s="125" t="s">
        <v>75</v>
      </c>
      <c r="O15" s="128">
        <f>O14</f>
        <v>45767</v>
      </c>
      <c r="P15" s="128" t="s">
        <v>76</v>
      </c>
      <c r="Q15" s="128">
        <v>45838</v>
      </c>
      <c r="R15" s="129" t="s">
        <v>77</v>
      </c>
      <c r="S15" s="130">
        <v>45838</v>
      </c>
      <c r="T15" s="129">
        <v>45615</v>
      </c>
      <c r="U15" s="124" t="s">
        <v>78</v>
      </c>
      <c r="V15" s="131">
        <v>45747</v>
      </c>
      <c r="W15" s="132"/>
      <c r="X15" s="126"/>
      <c r="Y15" s="124"/>
      <c r="Z15" s="124"/>
      <c r="AA15" s="124"/>
      <c r="AB15" s="124"/>
      <c r="AC15" s="133"/>
      <c r="AD15" s="133"/>
      <c r="AE15" s="125"/>
      <c r="AF15" s="125"/>
      <c r="AG15" s="134"/>
      <c r="AH15" s="134">
        <v>35</v>
      </c>
      <c r="AI15" s="125">
        <v>0</v>
      </c>
      <c r="AJ15" s="125">
        <v>0</v>
      </c>
      <c r="AK15" s="125">
        <v>0</v>
      </c>
      <c r="AL15" s="125">
        <v>0</v>
      </c>
      <c r="AM15" s="125">
        <v>0</v>
      </c>
      <c r="AN15" s="125"/>
      <c r="AO15" s="125"/>
      <c r="AP15" s="135"/>
      <c r="AQ15" s="136">
        <f t="shared" si="4"/>
        <v>35</v>
      </c>
    </row>
    <row r="16" spans="1:43" s="3" customFormat="1" ht="18.75" customHeight="1">
      <c r="A16" s="123" t="s">
        <v>83</v>
      </c>
      <c r="B16" s="124" t="s">
        <v>84</v>
      </c>
      <c r="C16" s="124" t="s">
        <v>85</v>
      </c>
      <c r="D16" s="125" t="s">
        <v>86</v>
      </c>
      <c r="E16" s="124" t="s">
        <v>87</v>
      </c>
      <c r="F16" s="124" t="s">
        <v>82</v>
      </c>
      <c r="G16" s="126" t="s">
        <v>33</v>
      </c>
      <c r="H16" s="125" t="s">
        <v>34</v>
      </c>
      <c r="I16" s="125" t="s">
        <v>74</v>
      </c>
      <c r="J16" s="125">
        <v>580</v>
      </c>
      <c r="K16" s="125">
        <f t="shared" si="2"/>
        <v>100</v>
      </c>
      <c r="L16" s="125">
        <v>1.35</v>
      </c>
      <c r="M16" s="127">
        <f t="shared" si="3"/>
        <v>135</v>
      </c>
      <c r="N16" s="125" t="s">
        <v>35</v>
      </c>
      <c r="O16" s="128" t="s">
        <v>36</v>
      </c>
      <c r="P16" s="128" t="s">
        <v>76</v>
      </c>
      <c r="Q16" s="128">
        <v>45838</v>
      </c>
      <c r="R16" s="128" t="s">
        <v>88</v>
      </c>
      <c r="S16" s="137">
        <v>45838</v>
      </c>
      <c r="T16" s="129">
        <v>45615</v>
      </c>
      <c r="U16" s="124" t="s">
        <v>89</v>
      </c>
      <c r="V16" s="131">
        <v>46022</v>
      </c>
      <c r="W16" s="132"/>
      <c r="X16" s="126"/>
      <c r="Y16" s="124"/>
      <c r="Z16" s="124"/>
      <c r="AA16" s="124"/>
      <c r="AB16" s="124"/>
      <c r="AC16" s="133"/>
      <c r="AD16" s="133"/>
      <c r="AE16" s="125"/>
      <c r="AF16" s="125"/>
      <c r="AG16" s="134">
        <v>0</v>
      </c>
      <c r="AH16" s="125">
        <v>0</v>
      </c>
      <c r="AI16" s="125">
        <v>50</v>
      </c>
      <c r="AJ16" s="125">
        <v>0</v>
      </c>
      <c r="AK16" s="125"/>
      <c r="AL16" s="125">
        <v>50</v>
      </c>
      <c r="AM16" s="125">
        <v>0</v>
      </c>
      <c r="AN16" s="125"/>
      <c r="AO16" s="125"/>
      <c r="AP16" s="135"/>
      <c r="AQ16" s="136">
        <f t="shared" si="4"/>
        <v>100</v>
      </c>
    </row>
    <row r="17" spans="1:43" s="3" customFormat="1" ht="18.75" customHeight="1">
      <c r="A17" s="123" t="s">
        <v>90</v>
      </c>
      <c r="B17" s="124" t="s">
        <v>30</v>
      </c>
      <c r="C17" s="124" t="s">
        <v>50</v>
      </c>
      <c r="D17" s="125" t="s">
        <v>91</v>
      </c>
      <c r="E17" s="124" t="s">
        <v>92</v>
      </c>
      <c r="F17" s="124" t="s">
        <v>33</v>
      </c>
      <c r="G17" s="126" t="s">
        <v>33</v>
      </c>
      <c r="H17" s="125" t="s">
        <v>34</v>
      </c>
      <c r="I17" s="125" t="s">
        <v>74</v>
      </c>
      <c r="J17" s="125">
        <v>580</v>
      </c>
      <c r="K17" s="125">
        <f t="shared" si="2"/>
        <v>150</v>
      </c>
      <c r="L17" s="125">
        <v>1.35</v>
      </c>
      <c r="M17" s="127">
        <f t="shared" si="3"/>
        <v>202.5</v>
      </c>
      <c r="N17" s="125" t="s">
        <v>75</v>
      </c>
      <c r="O17" s="128">
        <f>O15</f>
        <v>45767</v>
      </c>
      <c r="P17" s="128" t="s">
        <v>76</v>
      </c>
      <c r="Q17" s="128">
        <v>45838</v>
      </c>
      <c r="R17" s="129" t="s">
        <v>93</v>
      </c>
      <c r="S17" s="130">
        <v>45838</v>
      </c>
      <c r="T17" s="129">
        <v>45615</v>
      </c>
      <c r="U17" s="124" t="s">
        <v>78</v>
      </c>
      <c r="V17" s="131">
        <v>45747</v>
      </c>
      <c r="W17" s="132"/>
      <c r="X17" s="126"/>
      <c r="Y17" s="124"/>
      <c r="Z17" s="124"/>
      <c r="AA17" s="124"/>
      <c r="AB17" s="124"/>
      <c r="AC17" s="133"/>
      <c r="AD17" s="133"/>
      <c r="AE17" s="125"/>
      <c r="AF17" s="125"/>
      <c r="AG17" s="134">
        <v>0</v>
      </c>
      <c r="AH17" s="125">
        <v>0</v>
      </c>
      <c r="AI17" s="125">
        <v>0</v>
      </c>
      <c r="AJ17" s="125">
        <v>0</v>
      </c>
      <c r="AK17" s="125">
        <v>50</v>
      </c>
      <c r="AL17" s="125">
        <v>50</v>
      </c>
      <c r="AM17" s="125">
        <v>0</v>
      </c>
      <c r="AN17" s="125">
        <v>50</v>
      </c>
      <c r="AO17" s="125"/>
      <c r="AP17" s="135"/>
      <c r="AQ17" s="136">
        <f t="shared" si="4"/>
        <v>150</v>
      </c>
    </row>
    <row r="18" spans="1:43" s="3" customFormat="1" ht="18.75" customHeight="1">
      <c r="A18" s="123" t="s">
        <v>162</v>
      </c>
      <c r="B18" s="124" t="s">
        <v>84</v>
      </c>
      <c r="C18" s="124" t="s">
        <v>95</v>
      </c>
      <c r="D18" s="125" t="s">
        <v>96</v>
      </c>
      <c r="E18" s="124" t="s">
        <v>97</v>
      </c>
      <c r="F18" s="124" t="s">
        <v>82</v>
      </c>
      <c r="G18" s="126" t="s">
        <v>33</v>
      </c>
      <c r="H18" s="125" t="s">
        <v>34</v>
      </c>
      <c r="I18" s="125" t="s">
        <v>74</v>
      </c>
      <c r="J18" s="125">
        <v>580</v>
      </c>
      <c r="K18" s="125">
        <f t="shared" si="2"/>
        <v>142</v>
      </c>
      <c r="L18" s="125">
        <v>1.35</v>
      </c>
      <c r="M18" s="127">
        <f t="shared" si="3"/>
        <v>191.70000000000002</v>
      </c>
      <c r="N18" s="125" t="s">
        <v>59</v>
      </c>
      <c r="O18" s="128" t="str">
        <f>O10</f>
        <v>Charged</v>
      </c>
      <c r="P18" s="128" t="s">
        <v>76</v>
      </c>
      <c r="Q18" s="128">
        <v>46022</v>
      </c>
      <c r="R18" s="128" t="s">
        <v>98</v>
      </c>
      <c r="S18" s="137">
        <v>45838</v>
      </c>
      <c r="T18" s="129">
        <v>45622</v>
      </c>
      <c r="U18" s="124" t="s">
        <v>89</v>
      </c>
      <c r="V18" s="131">
        <v>46022</v>
      </c>
      <c r="W18" s="132"/>
      <c r="X18" s="126"/>
      <c r="Y18" s="124"/>
      <c r="Z18" s="124"/>
      <c r="AA18" s="124"/>
      <c r="AB18" s="124"/>
      <c r="AC18" s="133"/>
      <c r="AD18" s="133"/>
      <c r="AE18" s="125"/>
      <c r="AF18" s="125"/>
      <c r="AG18" s="134"/>
      <c r="AH18" s="125">
        <v>50</v>
      </c>
      <c r="AI18" s="125">
        <v>0</v>
      </c>
      <c r="AJ18" s="125">
        <v>75</v>
      </c>
      <c r="AK18" s="125">
        <v>17</v>
      </c>
      <c r="AL18" s="127"/>
      <c r="AM18" s="127"/>
      <c r="AN18" s="125"/>
      <c r="AO18" s="125"/>
      <c r="AP18" s="135"/>
      <c r="AQ18" s="136">
        <f t="shared" si="4"/>
        <v>142</v>
      </c>
    </row>
    <row r="19" spans="1:43" s="3" customFormat="1" ht="18.75" customHeight="1">
      <c r="A19" s="123" t="s">
        <v>162</v>
      </c>
      <c r="B19" s="124" t="s">
        <v>30</v>
      </c>
      <c r="C19" s="124" t="s">
        <v>95</v>
      </c>
      <c r="D19" s="125" t="s">
        <v>96</v>
      </c>
      <c r="E19" s="124" t="s">
        <v>97</v>
      </c>
      <c r="F19" s="124" t="s">
        <v>33</v>
      </c>
      <c r="G19" s="126" t="s">
        <v>33</v>
      </c>
      <c r="H19" s="125" t="s">
        <v>34</v>
      </c>
      <c r="I19" s="125" t="s">
        <v>74</v>
      </c>
      <c r="J19" s="125">
        <v>580</v>
      </c>
      <c r="K19" s="125">
        <f t="shared" ref="K19" si="5">SUM(AE19:AP19)</f>
        <v>150</v>
      </c>
      <c r="L19" s="125">
        <v>1.35</v>
      </c>
      <c r="M19" s="127">
        <f t="shared" ref="M19" si="6">L19*K19</f>
        <v>202.5</v>
      </c>
      <c r="N19" s="125" t="s">
        <v>59</v>
      </c>
      <c r="O19" s="128">
        <f>O11</f>
        <v>0</v>
      </c>
      <c r="P19" s="128" t="s">
        <v>76</v>
      </c>
      <c r="Q19" s="128">
        <v>46022</v>
      </c>
      <c r="R19" s="128" t="s">
        <v>98</v>
      </c>
      <c r="S19" s="137">
        <v>45838</v>
      </c>
      <c r="T19" s="129">
        <v>45622</v>
      </c>
      <c r="U19" s="124" t="s">
        <v>89</v>
      </c>
      <c r="V19" s="131">
        <v>46022</v>
      </c>
      <c r="W19" s="132"/>
      <c r="X19" s="126"/>
      <c r="Y19" s="124"/>
      <c r="Z19" s="124"/>
      <c r="AA19" s="124"/>
      <c r="AB19" s="124"/>
      <c r="AC19" s="133"/>
      <c r="AD19" s="133"/>
      <c r="AE19" s="125"/>
      <c r="AF19" s="125"/>
      <c r="AG19" s="134"/>
      <c r="AH19" s="125"/>
      <c r="AI19" s="125"/>
      <c r="AJ19" s="125"/>
      <c r="AK19" s="125">
        <v>45</v>
      </c>
      <c r="AL19" s="127">
        <v>105</v>
      </c>
      <c r="AM19" s="127"/>
      <c r="AN19" s="125"/>
      <c r="AO19" s="125"/>
      <c r="AP19" s="135"/>
      <c r="AQ19" s="136">
        <f t="shared" ref="AQ19" si="7">SUM(AE19:AP19)</f>
        <v>150</v>
      </c>
    </row>
    <row r="20" spans="1:43" s="3" customFormat="1" ht="18.75" customHeight="1">
      <c r="A20" s="123" t="s">
        <v>100</v>
      </c>
      <c r="B20" s="124" t="s">
        <v>30</v>
      </c>
      <c r="C20" s="124" t="s">
        <v>101</v>
      </c>
      <c r="D20" s="125" t="s">
        <v>96</v>
      </c>
      <c r="E20" s="124" t="s">
        <v>97</v>
      </c>
      <c r="F20" s="124" t="s">
        <v>33</v>
      </c>
      <c r="G20" s="124" t="s">
        <v>33</v>
      </c>
      <c r="H20" s="125" t="s">
        <v>34</v>
      </c>
      <c r="I20" s="125" t="s">
        <v>74</v>
      </c>
      <c r="J20" s="125">
        <v>580</v>
      </c>
      <c r="K20" s="125">
        <f t="shared" si="2"/>
        <v>150</v>
      </c>
      <c r="L20" s="125">
        <v>1.35</v>
      </c>
      <c r="M20" s="127">
        <f t="shared" si="3"/>
        <v>202.5</v>
      </c>
      <c r="N20" s="125" t="s">
        <v>59</v>
      </c>
      <c r="O20" s="128" t="str">
        <f>O18</f>
        <v>Charged</v>
      </c>
      <c r="P20" s="128" t="s">
        <v>76</v>
      </c>
      <c r="Q20" s="128">
        <v>46022</v>
      </c>
      <c r="R20" s="128" t="s">
        <v>98</v>
      </c>
      <c r="S20" s="137">
        <v>45838</v>
      </c>
      <c r="T20" s="129">
        <v>45622</v>
      </c>
      <c r="U20" s="124" t="s">
        <v>89</v>
      </c>
      <c r="V20" s="131">
        <v>46022</v>
      </c>
      <c r="W20" s="132"/>
      <c r="X20" s="126"/>
      <c r="Y20" s="124"/>
      <c r="Z20" s="124"/>
      <c r="AA20" s="124"/>
      <c r="AB20" s="124"/>
      <c r="AC20" s="133"/>
      <c r="AD20" s="133"/>
      <c r="AE20" s="125"/>
      <c r="AF20" s="125"/>
      <c r="AG20" s="134">
        <v>0</v>
      </c>
      <c r="AH20" s="125">
        <v>0</v>
      </c>
      <c r="AI20" s="125">
        <v>0</v>
      </c>
      <c r="AJ20" s="125">
        <v>0</v>
      </c>
      <c r="AK20" s="125">
        <v>0</v>
      </c>
      <c r="AL20" s="125"/>
      <c r="AM20" s="125">
        <v>0</v>
      </c>
      <c r="AN20" s="125">
        <v>50</v>
      </c>
      <c r="AO20" s="125">
        <v>100</v>
      </c>
      <c r="AP20" s="135"/>
      <c r="AQ20" s="136">
        <f t="shared" si="4"/>
        <v>150</v>
      </c>
    </row>
    <row r="21" spans="1:43" s="3" customFormat="1" ht="18.75" customHeight="1">
      <c r="A21" s="123" t="s">
        <v>102</v>
      </c>
      <c r="B21" s="124" t="s">
        <v>30</v>
      </c>
      <c r="C21" s="124" t="s">
        <v>101</v>
      </c>
      <c r="D21" s="125" t="s">
        <v>56</v>
      </c>
      <c r="E21" s="124" t="s">
        <v>103</v>
      </c>
      <c r="F21" s="124" t="s">
        <v>33</v>
      </c>
      <c r="G21" s="126" t="s">
        <v>33</v>
      </c>
      <c r="H21" s="125" t="s">
        <v>34</v>
      </c>
      <c r="I21" s="125" t="s">
        <v>74</v>
      </c>
      <c r="J21" s="125">
        <v>580</v>
      </c>
      <c r="K21" s="125">
        <f t="shared" si="2"/>
        <v>150</v>
      </c>
      <c r="L21" s="125">
        <v>1.35</v>
      </c>
      <c r="M21" s="127">
        <f t="shared" si="3"/>
        <v>202.5</v>
      </c>
      <c r="N21" s="125" t="s">
        <v>53</v>
      </c>
      <c r="O21" s="128" t="str">
        <f>O9</f>
        <v>Charged</v>
      </c>
      <c r="P21" s="128" t="s">
        <v>76</v>
      </c>
      <c r="Q21" s="128"/>
      <c r="R21" s="129" t="s">
        <v>54</v>
      </c>
      <c r="S21" s="130">
        <v>45838</v>
      </c>
      <c r="T21" s="129"/>
      <c r="U21" s="124"/>
      <c r="V21" s="131"/>
      <c r="W21" s="132"/>
      <c r="X21" s="126"/>
      <c r="Y21" s="124"/>
      <c r="Z21" s="124"/>
      <c r="AA21" s="124"/>
      <c r="AB21" s="124"/>
      <c r="AC21" s="133"/>
      <c r="AD21" s="133"/>
      <c r="AE21" s="125"/>
      <c r="AF21" s="125"/>
      <c r="AG21" s="134">
        <v>0</v>
      </c>
      <c r="AH21" s="125">
        <v>0</v>
      </c>
      <c r="AI21" s="125">
        <v>0</v>
      </c>
      <c r="AJ21" s="125">
        <v>0</v>
      </c>
      <c r="AK21" s="125">
        <v>0</v>
      </c>
      <c r="AL21" s="125"/>
      <c r="AM21" s="125"/>
      <c r="AN21" s="125">
        <v>50</v>
      </c>
      <c r="AO21" s="125">
        <v>100</v>
      </c>
      <c r="AP21" s="135"/>
      <c r="AQ21" s="136">
        <f t="shared" si="4"/>
        <v>150</v>
      </c>
    </row>
    <row r="22" spans="1:43" s="3" customFormat="1" ht="18.75" customHeight="1">
      <c r="A22" s="123" t="s">
        <v>104</v>
      </c>
      <c r="B22" s="124" t="s">
        <v>105</v>
      </c>
      <c r="C22" s="124" t="s">
        <v>106</v>
      </c>
      <c r="D22" s="125" t="s">
        <v>107</v>
      </c>
      <c r="E22" s="124" t="s">
        <v>108</v>
      </c>
      <c r="F22" s="124" t="s">
        <v>105</v>
      </c>
      <c r="G22" s="124" t="s">
        <v>62</v>
      </c>
      <c r="H22" s="125" t="s">
        <v>52</v>
      </c>
      <c r="I22" s="125" t="s">
        <v>74</v>
      </c>
      <c r="J22" s="125">
        <v>580</v>
      </c>
      <c r="K22" s="125">
        <f t="shared" si="2"/>
        <v>125</v>
      </c>
      <c r="L22" s="125">
        <v>1.36</v>
      </c>
      <c r="M22" s="127">
        <f t="shared" si="3"/>
        <v>170</v>
      </c>
      <c r="N22" s="125" t="s">
        <v>39</v>
      </c>
      <c r="O22" s="128" t="str">
        <f>O7</f>
        <v>Charged</v>
      </c>
      <c r="P22" s="128" t="s">
        <v>76</v>
      </c>
      <c r="Q22" s="128">
        <v>45838</v>
      </c>
      <c r="R22" s="129" t="s">
        <v>109</v>
      </c>
      <c r="S22" s="130">
        <v>45838</v>
      </c>
      <c r="T22" s="129">
        <v>45615</v>
      </c>
      <c r="U22" s="124" t="s">
        <v>78</v>
      </c>
      <c r="V22" s="131">
        <v>45747</v>
      </c>
      <c r="W22" s="132"/>
      <c r="X22" s="126"/>
      <c r="Y22" s="124"/>
      <c r="Z22" s="124"/>
      <c r="AA22" s="124"/>
      <c r="AB22" s="124"/>
      <c r="AC22" s="133"/>
      <c r="AD22" s="133"/>
      <c r="AE22" s="125"/>
      <c r="AF22" s="125"/>
      <c r="AG22" s="134">
        <v>0</v>
      </c>
      <c r="AH22" s="125">
        <v>0</v>
      </c>
      <c r="AI22" s="125">
        <v>75</v>
      </c>
      <c r="AJ22" s="125"/>
      <c r="AK22" s="125">
        <v>50</v>
      </c>
      <c r="AL22" s="125">
        <v>0</v>
      </c>
      <c r="AM22" s="125">
        <v>0</v>
      </c>
      <c r="AN22" s="125"/>
      <c r="AO22" s="125"/>
      <c r="AP22" s="135"/>
      <c r="AQ22" s="136">
        <f t="shared" si="4"/>
        <v>125</v>
      </c>
    </row>
    <row r="23" spans="1:43" s="84" customFormat="1" ht="18.75" customHeight="1">
      <c r="A23" s="153" t="s">
        <v>110</v>
      </c>
      <c r="B23" s="154" t="s">
        <v>57</v>
      </c>
      <c r="C23" s="154" t="s">
        <v>111</v>
      </c>
      <c r="D23" s="155" t="s">
        <v>71</v>
      </c>
      <c r="E23" s="154" t="s">
        <v>112</v>
      </c>
      <c r="F23" s="154" t="s">
        <v>44</v>
      </c>
      <c r="G23" s="156" t="s">
        <v>44</v>
      </c>
      <c r="H23" s="155" t="s">
        <v>34</v>
      </c>
      <c r="I23" s="155" t="s">
        <v>113</v>
      </c>
      <c r="J23" s="155"/>
      <c r="K23" s="155">
        <f t="shared" si="2"/>
        <v>75</v>
      </c>
      <c r="L23" s="155">
        <v>1.35</v>
      </c>
      <c r="M23" s="157">
        <f>L23*K23</f>
        <v>101.25</v>
      </c>
      <c r="N23" s="155" t="s">
        <v>75</v>
      </c>
      <c r="O23" s="158">
        <f>O15</f>
        <v>45767</v>
      </c>
      <c r="P23" s="158">
        <v>45966</v>
      </c>
      <c r="Q23" s="158"/>
      <c r="R23" s="159"/>
      <c r="S23" s="160">
        <v>45931</v>
      </c>
      <c r="T23" s="159"/>
      <c r="U23" s="154"/>
      <c r="V23" s="161"/>
      <c r="W23" s="162"/>
      <c r="X23" s="156"/>
      <c r="Y23" s="154"/>
      <c r="Z23" s="154"/>
      <c r="AA23" s="154"/>
      <c r="AB23" s="154"/>
      <c r="AC23" s="163"/>
      <c r="AD23" s="163"/>
      <c r="AE23" s="155"/>
      <c r="AF23" s="155"/>
      <c r="AG23" s="155"/>
      <c r="AH23" s="155"/>
      <c r="AI23" s="155">
        <v>75</v>
      </c>
      <c r="AJ23" s="155"/>
      <c r="AK23" s="155"/>
      <c r="AL23" s="155"/>
      <c r="AM23" s="155"/>
      <c r="AN23" s="155"/>
      <c r="AO23" s="155"/>
      <c r="AP23" s="164"/>
      <c r="AQ23" s="118">
        <f t="shared" si="4"/>
        <v>75</v>
      </c>
    </row>
    <row r="24" spans="1:43" s="3" customFormat="1" ht="18.75" customHeight="1">
      <c r="A24" s="138" t="s">
        <v>114</v>
      </c>
      <c r="B24" s="139" t="s">
        <v>115</v>
      </c>
      <c r="C24" s="139" t="s">
        <v>116</v>
      </c>
      <c r="D24" s="140" t="s">
        <v>117</v>
      </c>
      <c r="E24" s="139" t="s">
        <v>118</v>
      </c>
      <c r="F24" s="139" t="s">
        <v>44</v>
      </c>
      <c r="G24" s="139" t="s">
        <v>44</v>
      </c>
      <c r="H24" s="140" t="s">
        <v>52</v>
      </c>
      <c r="I24" s="140" t="s">
        <v>119</v>
      </c>
      <c r="J24" s="140"/>
      <c r="K24" s="140">
        <f t="shared" si="2"/>
        <v>50</v>
      </c>
      <c r="L24" s="140">
        <v>1.36</v>
      </c>
      <c r="M24" s="141">
        <f t="shared" si="3"/>
        <v>68</v>
      </c>
      <c r="N24" s="140" t="s">
        <v>120</v>
      </c>
      <c r="O24" s="143">
        <v>45848</v>
      </c>
      <c r="P24" s="144">
        <v>45734</v>
      </c>
      <c r="Q24" s="143">
        <v>45930</v>
      </c>
      <c r="R24" s="145"/>
      <c r="S24" s="146">
        <v>45930</v>
      </c>
      <c r="T24" s="145">
        <v>45608</v>
      </c>
      <c r="U24" s="139" t="s">
        <v>121</v>
      </c>
      <c r="V24" s="147">
        <v>45309</v>
      </c>
      <c r="W24" s="148"/>
      <c r="X24" s="149"/>
      <c r="Y24" s="139"/>
      <c r="Z24" s="139"/>
      <c r="AA24" s="139"/>
      <c r="AB24" s="139"/>
      <c r="AC24" s="150"/>
      <c r="AD24" s="150"/>
      <c r="AE24" s="140"/>
      <c r="AF24" s="140"/>
      <c r="AG24" s="140"/>
      <c r="AH24" s="140"/>
      <c r="AI24" s="140"/>
      <c r="AJ24" s="140"/>
      <c r="AK24" s="140"/>
      <c r="AL24" s="140"/>
      <c r="AM24" s="140">
        <v>50</v>
      </c>
      <c r="AN24" s="140">
        <v>0</v>
      </c>
      <c r="AO24" s="140">
        <v>0</v>
      </c>
      <c r="AP24" s="151">
        <v>0</v>
      </c>
      <c r="AQ24" s="152">
        <f t="shared" si="4"/>
        <v>50</v>
      </c>
    </row>
    <row r="25" spans="1:43" s="3" customFormat="1" ht="18.75" customHeight="1">
      <c r="A25" s="138" t="s">
        <v>122</v>
      </c>
      <c r="B25" s="139" t="s">
        <v>123</v>
      </c>
      <c r="C25" s="139" t="s">
        <v>116</v>
      </c>
      <c r="D25" s="140" t="s">
        <v>117</v>
      </c>
      <c r="E25" s="139" t="s">
        <v>118</v>
      </c>
      <c r="F25" s="139" t="s">
        <v>44</v>
      </c>
      <c r="G25" s="139" t="s">
        <v>44</v>
      </c>
      <c r="H25" s="140" t="s">
        <v>52</v>
      </c>
      <c r="I25" s="140" t="s">
        <v>119</v>
      </c>
      <c r="J25" s="140"/>
      <c r="K25" s="140">
        <f t="shared" si="2"/>
        <v>200</v>
      </c>
      <c r="L25" s="140">
        <v>1.36</v>
      </c>
      <c r="M25" s="141">
        <f t="shared" si="3"/>
        <v>272</v>
      </c>
      <c r="N25" s="140" t="s">
        <v>120</v>
      </c>
      <c r="O25" s="143">
        <f>O24</f>
        <v>45848</v>
      </c>
      <c r="P25" s="144">
        <v>45734</v>
      </c>
      <c r="Q25" s="143">
        <v>45930</v>
      </c>
      <c r="R25" s="145"/>
      <c r="S25" s="146">
        <v>45930</v>
      </c>
      <c r="T25" s="145">
        <v>45608</v>
      </c>
      <c r="U25" s="139" t="s">
        <v>121</v>
      </c>
      <c r="V25" s="147">
        <v>45309</v>
      </c>
      <c r="W25" s="148"/>
      <c r="X25" s="149"/>
      <c r="Y25" s="139"/>
      <c r="Z25" s="139"/>
      <c r="AA25" s="139"/>
      <c r="AB25" s="139"/>
      <c r="AC25" s="150"/>
      <c r="AD25" s="150"/>
      <c r="AE25" s="140"/>
      <c r="AF25" s="140"/>
      <c r="AG25" s="140"/>
      <c r="AH25" s="140"/>
      <c r="AI25" s="140"/>
      <c r="AJ25" s="140"/>
      <c r="AK25" s="140"/>
      <c r="AL25" s="140"/>
      <c r="AM25" s="140">
        <v>50</v>
      </c>
      <c r="AN25" s="140">
        <v>100</v>
      </c>
      <c r="AO25" s="140">
        <v>50</v>
      </c>
      <c r="AP25" s="151">
        <v>0</v>
      </c>
      <c r="AQ25" s="152">
        <f t="shared" si="4"/>
        <v>200</v>
      </c>
    </row>
    <row r="26" spans="1:43" s="3" customFormat="1" ht="18.75" customHeight="1">
      <c r="A26" s="138" t="s">
        <v>124</v>
      </c>
      <c r="B26" s="139" t="s">
        <v>125</v>
      </c>
      <c r="C26" s="139" t="s">
        <v>116</v>
      </c>
      <c r="D26" s="140" t="s">
        <v>117</v>
      </c>
      <c r="E26" s="139" t="s">
        <v>118</v>
      </c>
      <c r="F26" s="139" t="s">
        <v>44</v>
      </c>
      <c r="G26" s="139" t="s">
        <v>44</v>
      </c>
      <c r="H26" s="140" t="s">
        <v>52</v>
      </c>
      <c r="I26" s="140" t="s">
        <v>119</v>
      </c>
      <c r="J26" s="140"/>
      <c r="K26" s="140">
        <f t="shared" si="2"/>
        <v>167</v>
      </c>
      <c r="L26" s="140">
        <v>1.36</v>
      </c>
      <c r="M26" s="141">
        <f t="shared" si="3"/>
        <v>227.12</v>
      </c>
      <c r="N26" s="140" t="s">
        <v>120</v>
      </c>
      <c r="O26" s="143">
        <f>O25</f>
        <v>45848</v>
      </c>
      <c r="P26" s="144">
        <v>45734</v>
      </c>
      <c r="Q26" s="143">
        <v>45930</v>
      </c>
      <c r="R26" s="145"/>
      <c r="S26" s="146">
        <v>45930</v>
      </c>
      <c r="T26" s="145">
        <v>45608</v>
      </c>
      <c r="U26" s="139" t="s">
        <v>121</v>
      </c>
      <c r="V26" s="147">
        <v>45309</v>
      </c>
      <c r="W26" s="148"/>
      <c r="X26" s="149"/>
      <c r="Y26" s="139"/>
      <c r="Z26" s="139"/>
      <c r="AA26" s="139"/>
      <c r="AB26" s="139"/>
      <c r="AC26" s="150"/>
      <c r="AD26" s="150"/>
      <c r="AE26" s="140"/>
      <c r="AF26" s="140"/>
      <c r="AG26" s="140"/>
      <c r="AH26" s="140"/>
      <c r="AI26" s="140"/>
      <c r="AJ26" s="140"/>
      <c r="AK26" s="140"/>
      <c r="AL26" s="140"/>
      <c r="AM26" s="140">
        <v>50</v>
      </c>
      <c r="AN26" s="140">
        <v>117</v>
      </c>
      <c r="AO26" s="140">
        <v>0</v>
      </c>
      <c r="AP26" s="151">
        <v>0</v>
      </c>
      <c r="AQ26" s="152">
        <f t="shared" si="4"/>
        <v>167</v>
      </c>
    </row>
    <row r="27" spans="1:43" s="3" customFormat="1" ht="18.75" customHeight="1">
      <c r="A27" s="138" t="s">
        <v>126</v>
      </c>
      <c r="B27" s="139" t="s">
        <v>127</v>
      </c>
      <c r="C27" s="139" t="s">
        <v>116</v>
      </c>
      <c r="D27" s="140" t="s">
        <v>117</v>
      </c>
      <c r="E27" s="139" t="s">
        <v>118</v>
      </c>
      <c r="F27" s="139" t="s">
        <v>44</v>
      </c>
      <c r="G27" s="139" t="s">
        <v>44</v>
      </c>
      <c r="H27" s="140" t="s">
        <v>52</v>
      </c>
      <c r="I27" s="140" t="s">
        <v>119</v>
      </c>
      <c r="J27" s="140"/>
      <c r="K27" s="140">
        <f t="shared" si="2"/>
        <v>333</v>
      </c>
      <c r="L27" s="140">
        <v>1.36</v>
      </c>
      <c r="M27" s="141">
        <f t="shared" si="3"/>
        <v>452.88000000000005</v>
      </c>
      <c r="N27" s="140" t="s">
        <v>120</v>
      </c>
      <c r="O27" s="143">
        <f>O26</f>
        <v>45848</v>
      </c>
      <c r="P27" s="144">
        <v>45734</v>
      </c>
      <c r="Q27" s="143">
        <v>45930</v>
      </c>
      <c r="R27" s="145"/>
      <c r="S27" s="146">
        <v>45930</v>
      </c>
      <c r="T27" s="145">
        <v>45608</v>
      </c>
      <c r="U27" s="139" t="s">
        <v>121</v>
      </c>
      <c r="V27" s="147">
        <v>45309</v>
      </c>
      <c r="W27" s="148"/>
      <c r="X27" s="149"/>
      <c r="Y27" s="139"/>
      <c r="Z27" s="139"/>
      <c r="AA27" s="139"/>
      <c r="AB27" s="139"/>
      <c r="AC27" s="150"/>
      <c r="AD27" s="150"/>
      <c r="AE27" s="140"/>
      <c r="AF27" s="140"/>
      <c r="AG27" s="140"/>
      <c r="AH27" s="140"/>
      <c r="AI27" s="141"/>
      <c r="AJ27" s="141"/>
      <c r="AK27" s="140"/>
      <c r="AL27" s="140"/>
      <c r="AM27" s="140"/>
      <c r="AN27" s="140">
        <v>100</v>
      </c>
      <c r="AO27" s="140">
        <v>100</v>
      </c>
      <c r="AP27" s="151">
        <v>133</v>
      </c>
      <c r="AQ27" s="152">
        <f t="shared" si="4"/>
        <v>333</v>
      </c>
    </row>
    <row r="28" spans="1:43" s="3" customFormat="1" ht="18.75" customHeight="1">
      <c r="A28" s="138" t="s">
        <v>128</v>
      </c>
      <c r="B28" s="139" t="s">
        <v>129</v>
      </c>
      <c r="C28" s="139" t="s">
        <v>116</v>
      </c>
      <c r="D28" s="140" t="s">
        <v>130</v>
      </c>
      <c r="E28" s="139" t="s">
        <v>131</v>
      </c>
      <c r="F28" s="139" t="s">
        <v>44</v>
      </c>
      <c r="G28" s="139" t="s">
        <v>44</v>
      </c>
      <c r="H28" s="140" t="s">
        <v>52</v>
      </c>
      <c r="I28" s="140" t="s">
        <v>119</v>
      </c>
      <c r="J28" s="140"/>
      <c r="K28" s="140">
        <f t="shared" si="2"/>
        <v>50</v>
      </c>
      <c r="L28" s="140">
        <v>1.36</v>
      </c>
      <c r="M28" s="141">
        <f t="shared" si="3"/>
        <v>68</v>
      </c>
      <c r="N28" s="140" t="s">
        <v>132</v>
      </c>
      <c r="O28" s="143" t="s">
        <v>36</v>
      </c>
      <c r="P28" s="144">
        <v>45561</v>
      </c>
      <c r="Q28" s="143">
        <v>45838</v>
      </c>
      <c r="R28" s="145"/>
      <c r="S28" s="146">
        <v>45930</v>
      </c>
      <c r="T28" s="145">
        <v>45608</v>
      </c>
      <c r="U28" s="139" t="s">
        <v>78</v>
      </c>
      <c r="V28" s="147">
        <v>45747</v>
      </c>
      <c r="W28" s="148"/>
      <c r="X28" s="149"/>
      <c r="Y28" s="139"/>
      <c r="Z28" s="139"/>
      <c r="AA28" s="139"/>
      <c r="AB28" s="139"/>
      <c r="AC28" s="150"/>
      <c r="AD28" s="150"/>
      <c r="AE28" s="140"/>
      <c r="AF28" s="140"/>
      <c r="AG28" s="140"/>
      <c r="AH28" s="140"/>
      <c r="AI28" s="140"/>
      <c r="AJ28" s="140">
        <v>50</v>
      </c>
      <c r="AK28" s="140"/>
      <c r="AL28" s="140"/>
      <c r="AM28" s="140"/>
      <c r="AN28" s="140"/>
      <c r="AO28" s="140"/>
      <c r="AP28" s="151"/>
      <c r="AQ28" s="152">
        <f t="shared" si="4"/>
        <v>50</v>
      </c>
    </row>
    <row r="29" spans="1:43" s="3" customFormat="1" ht="18.75" customHeight="1">
      <c r="A29" s="138" t="s">
        <v>133</v>
      </c>
      <c r="B29" s="139" t="s">
        <v>57</v>
      </c>
      <c r="C29" s="139" t="s">
        <v>111</v>
      </c>
      <c r="D29" s="155" t="s">
        <v>71</v>
      </c>
      <c r="E29" s="139" t="s">
        <v>112</v>
      </c>
      <c r="F29" s="139" t="s">
        <v>44</v>
      </c>
      <c r="G29" s="149" t="s">
        <v>44</v>
      </c>
      <c r="H29" s="140" t="s">
        <v>52</v>
      </c>
      <c r="I29" s="140" t="s">
        <v>113</v>
      </c>
      <c r="J29" s="140"/>
      <c r="K29" s="140">
        <f t="shared" ref="K29" si="8">SUM(AE29:AP29)</f>
        <v>425</v>
      </c>
      <c r="L29" s="140">
        <v>1.36</v>
      </c>
      <c r="M29" s="141">
        <f t="shared" ref="M29" si="9">L29*K29</f>
        <v>578</v>
      </c>
      <c r="N29" s="140" t="s">
        <v>75</v>
      </c>
      <c r="O29" s="143" t="str">
        <f>O10</f>
        <v>Charged</v>
      </c>
      <c r="P29" s="143">
        <v>45966</v>
      </c>
      <c r="Q29" s="143"/>
      <c r="R29" s="145"/>
      <c r="S29" s="146">
        <v>45931</v>
      </c>
      <c r="T29" s="145"/>
      <c r="U29" s="139"/>
      <c r="V29" s="147"/>
      <c r="W29" s="148"/>
      <c r="X29" s="149"/>
      <c r="Y29" s="139"/>
      <c r="Z29" s="139"/>
      <c r="AA29" s="139"/>
      <c r="AB29" s="139"/>
      <c r="AC29" s="150"/>
      <c r="AD29" s="15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>
        <v>150</v>
      </c>
      <c r="AO29" s="140">
        <v>150</v>
      </c>
      <c r="AP29" s="151">
        <v>125</v>
      </c>
      <c r="AQ29" s="152">
        <f t="shared" si="4"/>
        <v>425</v>
      </c>
    </row>
    <row r="30" spans="1:43" s="3" customFormat="1" ht="18.75" customHeight="1">
      <c r="A30" s="9" t="s">
        <v>134</v>
      </c>
      <c r="B30" s="16" t="s">
        <v>84</v>
      </c>
      <c r="C30" s="16" t="s">
        <v>50</v>
      </c>
      <c r="D30" s="7" t="s">
        <v>135</v>
      </c>
      <c r="E30" s="16" t="s">
        <v>33</v>
      </c>
      <c r="F30" s="16" t="s">
        <v>33</v>
      </c>
      <c r="G30" s="16" t="s">
        <v>33</v>
      </c>
      <c r="H30" s="7" t="s">
        <v>34</v>
      </c>
      <c r="I30" s="7"/>
      <c r="J30" s="7"/>
      <c r="K30" s="7">
        <v>300</v>
      </c>
      <c r="L30" s="7">
        <v>1.35</v>
      </c>
      <c r="M30" s="5">
        <f t="shared" ref="M30:M34" si="10">L30*K30</f>
        <v>405</v>
      </c>
      <c r="N30" s="7" t="s">
        <v>136</v>
      </c>
      <c r="O30" s="143"/>
      <c r="P30" s="144"/>
      <c r="Q30" s="143"/>
      <c r="R30" s="145"/>
      <c r="S30" s="146"/>
      <c r="T30" s="145"/>
      <c r="U30" s="139"/>
      <c r="V30" s="147"/>
      <c r="W30" s="148"/>
      <c r="X30" s="149"/>
      <c r="Y30" s="139"/>
      <c r="Z30" s="139"/>
      <c r="AA30" s="139"/>
      <c r="AB30" s="139"/>
      <c r="AC30" s="150"/>
      <c r="AD30" s="150"/>
      <c r="AE30" s="140"/>
      <c r="AF30" s="140"/>
      <c r="AG30" s="140"/>
      <c r="AH30" s="140"/>
      <c r="AI30" s="140"/>
      <c r="AJ30" s="140"/>
      <c r="AK30" s="140"/>
      <c r="AL30" s="140"/>
      <c r="AM30" s="140">
        <v>100</v>
      </c>
      <c r="AN30" s="140">
        <v>100</v>
      </c>
      <c r="AO30" s="140">
        <v>100</v>
      </c>
      <c r="AP30" s="151"/>
      <c r="AQ30" s="152">
        <f t="shared" si="4"/>
        <v>300</v>
      </c>
    </row>
    <row r="31" spans="1:43" s="3" customFormat="1" ht="18.75" customHeight="1">
      <c r="A31" s="9" t="s">
        <v>137</v>
      </c>
      <c r="B31" s="16" t="str">
        <f>B5</f>
        <v>MLP AP New</v>
      </c>
      <c r="C31" s="16" t="str">
        <f>C5</f>
        <v>ARE57L</v>
      </c>
      <c r="D31" s="7" t="str">
        <f>D5</f>
        <v>A-11</v>
      </c>
      <c r="E31" s="16" t="s">
        <v>44</v>
      </c>
      <c r="F31" s="16" t="s">
        <v>44</v>
      </c>
      <c r="G31" s="16" t="s">
        <v>44</v>
      </c>
      <c r="H31" s="7" t="s">
        <v>34</v>
      </c>
      <c r="I31" s="7"/>
      <c r="J31" s="7"/>
      <c r="K31" s="7">
        <v>350</v>
      </c>
      <c r="L31" s="7">
        <v>1.35</v>
      </c>
      <c r="M31" s="5">
        <f t="shared" si="10"/>
        <v>472.50000000000006</v>
      </c>
      <c r="N31" s="7" t="str">
        <f>N5</f>
        <v>PSS-13</v>
      </c>
      <c r="O31" s="143"/>
      <c r="P31" s="144"/>
      <c r="Q31" s="143"/>
      <c r="R31" s="145"/>
      <c r="S31" s="146"/>
      <c r="T31" s="145"/>
      <c r="U31" s="139"/>
      <c r="V31" s="147"/>
      <c r="W31" s="148"/>
      <c r="X31" s="149"/>
      <c r="Y31" s="139"/>
      <c r="Z31" s="139"/>
      <c r="AA31" s="139"/>
      <c r="AB31" s="139"/>
      <c r="AC31" s="150"/>
      <c r="AD31" s="150"/>
      <c r="AE31" s="140"/>
      <c r="AF31" s="140"/>
      <c r="AG31" s="140"/>
      <c r="AH31" s="140"/>
      <c r="AI31" s="140"/>
      <c r="AJ31" s="140"/>
      <c r="AK31" s="140"/>
      <c r="AL31" s="140"/>
      <c r="AM31" s="140">
        <v>150</v>
      </c>
      <c r="AN31" s="140">
        <v>200</v>
      </c>
      <c r="AO31" s="140"/>
      <c r="AP31" s="151"/>
      <c r="AQ31" s="152">
        <f t="shared" si="4"/>
        <v>350</v>
      </c>
    </row>
    <row r="32" spans="1:43" s="3" customFormat="1" ht="18.75" customHeight="1">
      <c r="A32" s="9" t="s">
        <v>138</v>
      </c>
      <c r="B32" s="16" t="s">
        <v>139</v>
      </c>
      <c r="C32" s="16" t="s">
        <v>139</v>
      </c>
      <c r="D32" s="7" t="s">
        <v>91</v>
      </c>
      <c r="E32" s="16" t="s">
        <v>62</v>
      </c>
      <c r="F32" s="16" t="s">
        <v>140</v>
      </c>
      <c r="G32" s="16" t="s">
        <v>62</v>
      </c>
      <c r="H32" s="7" t="s">
        <v>34</v>
      </c>
      <c r="I32" s="7"/>
      <c r="J32" s="7"/>
      <c r="K32" s="7">
        <v>12.5</v>
      </c>
      <c r="L32" s="7">
        <v>1.35</v>
      </c>
      <c r="M32" s="5">
        <f t="shared" si="10"/>
        <v>16.875</v>
      </c>
      <c r="N32" s="7" t="s">
        <v>75</v>
      </c>
      <c r="O32" s="143"/>
      <c r="P32" s="144"/>
      <c r="Q32" s="143"/>
      <c r="R32" s="145"/>
      <c r="S32" s="146"/>
      <c r="T32" s="145"/>
      <c r="U32" s="139"/>
      <c r="V32" s="147"/>
      <c r="W32" s="148"/>
      <c r="X32" s="149"/>
      <c r="Y32" s="139"/>
      <c r="Z32" s="139"/>
      <c r="AA32" s="139"/>
      <c r="AB32" s="139"/>
      <c r="AC32" s="150"/>
      <c r="AD32" s="150"/>
      <c r="AE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>
        <v>12.5</v>
      </c>
      <c r="AP32" s="151"/>
      <c r="AQ32" s="152">
        <f t="shared" si="4"/>
        <v>12.5</v>
      </c>
    </row>
    <row r="33" spans="1:43" s="3" customFormat="1" ht="18.75" customHeight="1">
      <c r="A33" s="9" t="s">
        <v>141</v>
      </c>
      <c r="B33" s="16" t="s">
        <v>142</v>
      </c>
      <c r="C33" s="16" t="s">
        <v>142</v>
      </c>
      <c r="D33" s="7" t="s">
        <v>91</v>
      </c>
      <c r="E33" s="16" t="s">
        <v>62</v>
      </c>
      <c r="F33" s="16" t="s">
        <v>140</v>
      </c>
      <c r="G33" s="16" t="s">
        <v>62</v>
      </c>
      <c r="H33" s="7" t="s">
        <v>34</v>
      </c>
      <c r="I33" s="7"/>
      <c r="J33" s="7"/>
      <c r="K33" s="7">
        <v>12.5</v>
      </c>
      <c r="L33" s="7">
        <v>1.35</v>
      </c>
      <c r="M33" s="5">
        <f t="shared" si="10"/>
        <v>16.875</v>
      </c>
      <c r="N33" s="7" t="s">
        <v>75</v>
      </c>
      <c r="O33" s="143"/>
      <c r="P33" s="144"/>
      <c r="Q33" s="143"/>
      <c r="R33" s="145"/>
      <c r="S33" s="146"/>
      <c r="T33" s="145"/>
      <c r="U33" s="139"/>
      <c r="V33" s="147"/>
      <c r="W33" s="148"/>
      <c r="X33" s="149"/>
      <c r="Y33" s="139"/>
      <c r="Z33" s="139"/>
      <c r="AA33" s="139"/>
      <c r="AB33" s="139"/>
      <c r="AC33" s="150"/>
      <c r="AD33" s="15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>
        <v>12.5</v>
      </c>
      <c r="AP33" s="151"/>
      <c r="AQ33" s="152">
        <f t="shared" si="4"/>
        <v>12.5</v>
      </c>
    </row>
    <row r="34" spans="1:43" s="3" customFormat="1" ht="18.75" customHeight="1">
      <c r="A34" s="9" t="s">
        <v>143</v>
      </c>
      <c r="B34" s="16" t="s">
        <v>30</v>
      </c>
      <c r="C34" s="16" t="s">
        <v>144</v>
      </c>
      <c r="D34" s="7" t="s">
        <v>91</v>
      </c>
      <c r="E34" s="16" t="s">
        <v>33</v>
      </c>
      <c r="F34" s="16" t="s">
        <v>33</v>
      </c>
      <c r="G34" s="16" t="s">
        <v>33</v>
      </c>
      <c r="H34" s="7" t="s">
        <v>34</v>
      </c>
      <c r="I34" s="7"/>
      <c r="J34" s="7"/>
      <c r="K34" s="7">
        <v>25</v>
      </c>
      <c r="L34" s="7">
        <v>1.35</v>
      </c>
      <c r="M34" s="5">
        <f t="shared" si="10"/>
        <v>33.75</v>
      </c>
      <c r="N34" s="7" t="s">
        <v>75</v>
      </c>
      <c r="O34" s="143"/>
      <c r="P34" s="143"/>
      <c r="Q34" s="143"/>
      <c r="R34" s="145"/>
      <c r="S34" s="146"/>
      <c r="T34" s="145"/>
      <c r="U34" s="139"/>
      <c r="V34" s="147"/>
      <c r="W34" s="148"/>
      <c r="X34" s="149"/>
      <c r="Y34" s="139"/>
      <c r="Z34" s="139"/>
      <c r="AA34" s="139"/>
      <c r="AB34" s="139"/>
      <c r="AC34" s="150"/>
      <c r="AD34" s="15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0"/>
      <c r="AO34" s="140">
        <v>25</v>
      </c>
      <c r="AP34" s="151"/>
      <c r="AQ34" s="118">
        <f t="shared" si="4"/>
        <v>25</v>
      </c>
    </row>
    <row r="35" spans="1:43" s="11" customFormat="1" ht="17.25" customHeight="1">
      <c r="A35" s="571" t="s">
        <v>145</v>
      </c>
      <c r="B35" s="571"/>
      <c r="C35" s="571"/>
      <c r="D35" s="571"/>
      <c r="E35" s="571"/>
      <c r="F35" s="571"/>
      <c r="G35" s="571"/>
      <c r="H35" s="571"/>
      <c r="I35" s="29"/>
      <c r="J35" s="29"/>
      <c r="K35" s="31">
        <f>SUM(K14:K34)</f>
        <v>3027</v>
      </c>
      <c r="L35" s="31">
        <f t="shared" ref="L35:AQ35" si="11">SUM(L14:L34)</f>
        <v>28.42</v>
      </c>
      <c r="M35" s="31">
        <f t="shared" si="11"/>
        <v>4099.9500000000007</v>
      </c>
      <c r="N35" s="31">
        <f t="shared" si="11"/>
        <v>0</v>
      </c>
      <c r="O35" s="31"/>
      <c r="P35" s="31">
        <f t="shared" si="11"/>
        <v>320429</v>
      </c>
      <c r="Q35" s="31">
        <f t="shared" si="11"/>
        <v>596814</v>
      </c>
      <c r="R35" s="31">
        <f t="shared" si="11"/>
        <v>0</v>
      </c>
      <c r="S35" s="31">
        <f t="shared" si="11"/>
        <v>734054</v>
      </c>
      <c r="T35" s="31">
        <f t="shared" si="11"/>
        <v>592981</v>
      </c>
      <c r="U35" s="31">
        <f t="shared" si="11"/>
        <v>0</v>
      </c>
      <c r="V35" s="31">
        <f t="shared" si="11"/>
        <v>594059</v>
      </c>
      <c r="W35" s="31">
        <f t="shared" si="11"/>
        <v>0</v>
      </c>
      <c r="X35" s="31">
        <f t="shared" si="11"/>
        <v>0</v>
      </c>
      <c r="Y35" s="31">
        <f t="shared" si="11"/>
        <v>0</v>
      </c>
      <c r="Z35" s="31">
        <f t="shared" si="11"/>
        <v>0</v>
      </c>
      <c r="AA35" s="31">
        <f t="shared" si="11"/>
        <v>0</v>
      </c>
      <c r="AB35" s="31">
        <f t="shared" si="11"/>
        <v>0</v>
      </c>
      <c r="AC35" s="31">
        <f t="shared" si="11"/>
        <v>0</v>
      </c>
      <c r="AD35" s="31">
        <f t="shared" si="11"/>
        <v>0</v>
      </c>
      <c r="AE35" s="31">
        <f t="shared" si="11"/>
        <v>0</v>
      </c>
      <c r="AF35" s="31">
        <f t="shared" si="11"/>
        <v>0</v>
      </c>
      <c r="AG35" s="31">
        <f t="shared" si="11"/>
        <v>0</v>
      </c>
      <c r="AH35" s="31">
        <f t="shared" si="11"/>
        <v>110</v>
      </c>
      <c r="AI35" s="31">
        <f t="shared" si="11"/>
        <v>200</v>
      </c>
      <c r="AJ35" s="31">
        <f t="shared" si="11"/>
        <v>125</v>
      </c>
      <c r="AK35" s="31">
        <f t="shared" si="11"/>
        <v>162</v>
      </c>
      <c r="AL35" s="31">
        <f t="shared" si="11"/>
        <v>205</v>
      </c>
      <c r="AM35" s="31">
        <f t="shared" si="11"/>
        <v>400</v>
      </c>
      <c r="AN35" s="31">
        <f t="shared" si="11"/>
        <v>917</v>
      </c>
      <c r="AO35" s="31">
        <f t="shared" si="11"/>
        <v>650</v>
      </c>
      <c r="AP35" s="31">
        <f t="shared" si="11"/>
        <v>258</v>
      </c>
      <c r="AQ35" s="31">
        <f t="shared" si="11"/>
        <v>3027</v>
      </c>
    </row>
    <row r="36" spans="1:43" ht="18" customHeight="1">
      <c r="A36" s="90"/>
      <c r="B36" s="90"/>
      <c r="C36" s="90"/>
      <c r="D36" s="90"/>
      <c r="E36" s="90"/>
      <c r="F36" s="90"/>
      <c r="G36" s="90"/>
      <c r="H36" s="90"/>
      <c r="K36" s="81"/>
      <c r="L36" s="11"/>
      <c r="M36" s="81"/>
      <c r="N36" s="11"/>
      <c r="O36" s="86"/>
      <c r="S36" s="86"/>
      <c r="U36" s="166"/>
      <c r="V36" s="166"/>
      <c r="W36" s="166"/>
      <c r="X36" s="167"/>
      <c r="Y36" s="167"/>
      <c r="Z36" s="167"/>
      <c r="AA36" s="167"/>
      <c r="AB36" s="167"/>
      <c r="AC36" s="167"/>
      <c r="AD36" s="167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87"/>
      <c r="AQ36" s="87"/>
    </row>
    <row r="37" spans="1:43" ht="18" customHeight="1">
      <c r="A37" s="572" t="s">
        <v>146</v>
      </c>
      <c r="B37" s="573"/>
      <c r="C37" s="573"/>
      <c r="D37" s="573"/>
      <c r="E37" s="573"/>
      <c r="F37" s="573"/>
      <c r="G37" s="573"/>
      <c r="H37" s="574"/>
      <c r="K37" s="114">
        <f>K35+K11</f>
        <v>7072</v>
      </c>
      <c r="L37" s="168"/>
      <c r="M37" s="114">
        <f>M35+M11</f>
        <v>7714.8250000000007</v>
      </c>
      <c r="N37" s="168"/>
      <c r="O37" s="30"/>
      <c r="S37" s="86"/>
      <c r="U37" s="166"/>
      <c r="V37" s="166"/>
      <c r="W37" s="166"/>
      <c r="X37" s="167"/>
      <c r="Y37" s="167"/>
      <c r="Z37" s="167"/>
      <c r="AA37" s="167"/>
      <c r="AB37" s="167"/>
      <c r="AC37" s="167"/>
      <c r="AD37" s="167"/>
      <c r="AE37" s="31">
        <f t="shared" ref="AE37:AP37" si="12">AE35+AE11</f>
        <v>370</v>
      </c>
      <c r="AF37" s="31">
        <f t="shared" si="12"/>
        <v>287.5</v>
      </c>
      <c r="AG37" s="31">
        <f t="shared" si="12"/>
        <v>637.5</v>
      </c>
      <c r="AH37" s="31">
        <f t="shared" si="12"/>
        <v>347.5</v>
      </c>
      <c r="AI37" s="31">
        <f t="shared" si="12"/>
        <v>425</v>
      </c>
      <c r="AJ37" s="31">
        <f t="shared" si="12"/>
        <v>275</v>
      </c>
      <c r="AK37" s="31">
        <f t="shared" si="12"/>
        <v>262</v>
      </c>
      <c r="AL37" s="31">
        <f t="shared" si="12"/>
        <v>355</v>
      </c>
      <c r="AM37" s="31">
        <f t="shared" si="12"/>
        <v>400</v>
      </c>
      <c r="AN37" s="31">
        <f t="shared" si="12"/>
        <v>917</v>
      </c>
      <c r="AO37" s="31">
        <f t="shared" si="12"/>
        <v>650</v>
      </c>
      <c r="AP37" s="31">
        <f t="shared" si="12"/>
        <v>258</v>
      </c>
      <c r="AQ37" s="29"/>
    </row>
    <row r="38" spans="1:43" ht="18" customHeight="1">
      <c r="A38" s="571" t="s">
        <v>147</v>
      </c>
      <c r="B38" s="571"/>
      <c r="C38" s="571"/>
      <c r="D38" s="571"/>
      <c r="E38" s="571"/>
      <c r="F38" s="571"/>
      <c r="G38" s="571"/>
      <c r="H38" s="571"/>
      <c r="I38" s="38"/>
      <c r="J38" s="38"/>
      <c r="K38" s="575">
        <f>K37</f>
        <v>7072</v>
      </c>
      <c r="L38" s="579"/>
      <c r="M38" s="580">
        <f>M37</f>
        <v>7714.8250000000007</v>
      </c>
      <c r="N38" s="579"/>
      <c r="O38" s="581"/>
      <c r="S38" s="86"/>
      <c r="U38" s="166"/>
      <c r="V38" s="166"/>
      <c r="W38" s="166"/>
      <c r="X38" s="167"/>
      <c r="Y38" s="167"/>
      <c r="Z38" s="167"/>
      <c r="AA38" s="167"/>
      <c r="AB38" s="167"/>
      <c r="AC38" s="167"/>
      <c r="AD38" s="167"/>
      <c r="AE38" s="580">
        <f>SUM(AE37:AG37)</f>
        <v>1295</v>
      </c>
      <c r="AF38" s="579"/>
      <c r="AG38" s="579"/>
      <c r="AH38" s="580">
        <f>SUM(AH37:AJ37)</f>
        <v>1047.5</v>
      </c>
      <c r="AI38" s="579"/>
      <c r="AJ38" s="579"/>
      <c r="AK38" s="580">
        <f>SUM(AK37:AM37)</f>
        <v>1017</v>
      </c>
      <c r="AL38" s="579"/>
      <c r="AM38" s="579"/>
      <c r="AN38" s="580">
        <f>SUM(AN37:AP37)</f>
        <v>1825</v>
      </c>
      <c r="AO38" s="579"/>
      <c r="AP38" s="579"/>
      <c r="AQ38" s="87"/>
    </row>
    <row r="39" spans="1:43" ht="18" customHeight="1">
      <c r="A39" s="571"/>
      <c r="B39" s="571"/>
      <c r="C39" s="571"/>
      <c r="D39" s="571"/>
      <c r="E39" s="571"/>
      <c r="F39" s="571"/>
      <c r="G39" s="571"/>
      <c r="H39" s="571"/>
      <c r="I39" s="38"/>
      <c r="J39" s="38"/>
      <c r="K39" s="576"/>
      <c r="L39" s="579"/>
      <c r="M39" s="580"/>
      <c r="N39" s="579"/>
      <c r="O39" s="581"/>
      <c r="S39" s="86"/>
      <c r="U39" s="166"/>
      <c r="V39" s="166"/>
      <c r="W39" s="166"/>
      <c r="X39" s="167"/>
      <c r="Y39" s="167"/>
      <c r="Z39" s="167"/>
      <c r="AA39" s="167"/>
      <c r="AB39" s="167"/>
      <c r="AC39" s="167"/>
      <c r="AD39" s="167"/>
      <c r="AE39" s="580">
        <f>AE38+AH38+AK38+AN38</f>
        <v>5184.5</v>
      </c>
      <c r="AF39" s="579"/>
      <c r="AG39" s="579"/>
      <c r="AH39" s="579"/>
      <c r="AI39" s="579"/>
      <c r="AJ39" s="579"/>
      <c r="AK39" s="579"/>
      <c r="AL39" s="579"/>
      <c r="AM39" s="579"/>
      <c r="AN39" s="579"/>
      <c r="AO39" s="579"/>
      <c r="AP39" s="579"/>
      <c r="AQ39" s="87"/>
    </row>
    <row r="40" spans="1:43" ht="18.75" customHeight="1">
      <c r="A40" s="3" t="s">
        <v>148</v>
      </c>
      <c r="B40" s="90"/>
      <c r="C40" s="90"/>
      <c r="D40" s="90"/>
      <c r="E40" s="90"/>
      <c r="F40" s="90"/>
      <c r="G40" s="90"/>
      <c r="H40" s="90"/>
      <c r="K40" s="81"/>
      <c r="L40" s="11"/>
      <c r="M40" s="81"/>
      <c r="N40" s="11"/>
      <c r="O40" s="86"/>
      <c r="S40" s="86"/>
      <c r="U40" s="166"/>
      <c r="V40" s="166"/>
      <c r="W40" s="166"/>
      <c r="X40" s="167"/>
      <c r="Y40" s="167"/>
      <c r="Z40" s="167"/>
      <c r="AA40" s="167"/>
      <c r="AB40" s="167"/>
      <c r="AC40" s="167"/>
      <c r="AD40" s="167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87"/>
    </row>
  </sheetData>
  <mergeCells count="16">
    <mergeCell ref="AI2:AM2"/>
    <mergeCell ref="AO2:AP2"/>
    <mergeCell ref="AE39:AP39"/>
    <mergeCell ref="A11:H11"/>
    <mergeCell ref="A35:H35"/>
    <mergeCell ref="A37:H37"/>
    <mergeCell ref="A38:H39"/>
    <mergeCell ref="K38:K39"/>
    <mergeCell ref="L38:L39"/>
    <mergeCell ref="M38:M39"/>
    <mergeCell ref="N38:N39"/>
    <mergeCell ref="O38:O39"/>
    <mergeCell ref="AE38:AG38"/>
    <mergeCell ref="AH38:AJ38"/>
    <mergeCell ref="AK38:AM38"/>
    <mergeCell ref="AN38:AP38"/>
  </mergeCells>
  <conditionalFormatting sqref="X4:X10">
    <cfRule type="duplicateValues" dxfId="1" priority="267"/>
  </conditionalFormatting>
  <conditionalFormatting sqref="X14:X34">
    <cfRule type="duplicateValues" dxfId="0" priority="261"/>
  </conditionalFormatting>
  <printOptions horizontalCentered="1"/>
  <pageMargins left="0.11811023622047245" right="0.31496062992125984" top="0.74803149606299213" bottom="0.74803149606299213" header="0.31496062992125984" footer="0.31496062992125984"/>
  <pageSetup paperSize="8" scale="79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B77B-4178-40C4-BA7D-1101B55A886F}">
  <sheetPr codeName="Sheet1">
    <pageSetUpPr fitToPage="1"/>
  </sheetPr>
  <dimension ref="A1:AB337"/>
  <sheetViews>
    <sheetView showGridLines="0" showZeros="0" tabSelected="1" zoomScale="76" zoomScaleNormal="100" zoomScaleSheetLayoutView="93" workbookViewId="0">
      <pane xSplit="9" ySplit="3" topLeftCell="P102" activePane="bottomRight" state="frozen"/>
      <selection pane="bottomRight" activeCell="W2" sqref="W2"/>
      <selection pane="bottomLeft" activeCell="A4" sqref="A4"/>
      <selection pane="topRight" activeCell="J1" sqref="J1"/>
    </sheetView>
  </sheetViews>
  <sheetFormatPr defaultRowHeight="13.5"/>
  <cols>
    <col min="1" max="1" width="3.140625" customWidth="1"/>
    <col min="2" max="2" width="7" customWidth="1"/>
    <col min="3" max="3" width="15.28515625" bestFit="1" customWidth="1"/>
    <col min="4" max="5" width="11" customWidth="1"/>
    <col min="6" max="6" width="10.5703125" customWidth="1"/>
    <col min="7" max="7" width="7.140625" customWidth="1"/>
    <col min="8" max="8" width="12.28515625" hidden="1" customWidth="1"/>
    <col min="9" max="9" width="10.5703125" customWidth="1"/>
    <col min="10" max="17" width="8.5703125" customWidth="1"/>
    <col min="18" max="18" width="10" customWidth="1"/>
    <col min="19" max="21" width="8.5703125" customWidth="1"/>
    <col min="22" max="22" width="8.5703125" style="95" customWidth="1"/>
    <col min="23" max="23" width="10.7109375" style="95" customWidth="1"/>
    <col min="24" max="24" width="1.42578125" customWidth="1"/>
    <col min="25" max="28" width="6.5703125" style="95" customWidth="1"/>
  </cols>
  <sheetData>
    <row r="1" spans="1:28" s="265" customFormat="1" ht="24" customHeight="1">
      <c r="A1" s="260">
        <v>8</v>
      </c>
      <c r="B1" s="261" t="s">
        <v>163</v>
      </c>
      <c r="C1" s="261"/>
      <c r="D1" s="262"/>
      <c r="E1" s="262"/>
      <c r="F1" s="262"/>
      <c r="G1" s="262"/>
      <c r="H1" s="262"/>
      <c r="I1" s="262"/>
      <c r="J1" s="262"/>
      <c r="K1" s="263" t="s">
        <v>164</v>
      </c>
      <c r="L1" s="264"/>
      <c r="M1" s="264"/>
      <c r="N1" s="264"/>
      <c r="O1" s="264"/>
      <c r="P1" s="264"/>
      <c r="Q1" s="264"/>
      <c r="R1" s="264"/>
      <c r="S1" s="264"/>
      <c r="T1" s="264"/>
      <c r="V1" s="266"/>
      <c r="W1" s="259">
        <v>46022</v>
      </c>
      <c r="Y1" s="267"/>
      <c r="Z1" s="266"/>
      <c r="AA1" s="266"/>
      <c r="AB1" s="266"/>
    </row>
    <row r="2" spans="1:28" ht="16.5" customHeight="1">
      <c r="A2" s="219">
        <v>3</v>
      </c>
      <c r="B2" s="43"/>
      <c r="C2" s="43"/>
      <c r="D2" s="171"/>
      <c r="E2" s="171"/>
      <c r="F2" s="171"/>
      <c r="G2" s="171"/>
      <c r="H2" s="171"/>
      <c r="I2" s="171"/>
      <c r="J2" s="621" t="s">
        <v>165</v>
      </c>
      <c r="K2" s="621"/>
      <c r="L2" s="621"/>
      <c r="M2" s="621"/>
      <c r="N2" s="621"/>
      <c r="O2" s="621"/>
      <c r="P2" s="621"/>
      <c r="Q2" s="621"/>
      <c r="R2" s="621"/>
      <c r="S2" s="621"/>
      <c r="T2" s="621"/>
      <c r="U2" s="621"/>
      <c r="V2" s="97"/>
      <c r="W2" s="97"/>
      <c r="Y2" s="621" t="s">
        <v>166</v>
      </c>
      <c r="Z2" s="621"/>
      <c r="AA2" s="621"/>
      <c r="AB2" s="621"/>
    </row>
    <row r="3" spans="1:28" ht="40.5" customHeight="1">
      <c r="A3" s="56"/>
      <c r="B3" s="43"/>
      <c r="C3" s="43"/>
      <c r="D3" s="171"/>
      <c r="E3" s="171"/>
      <c r="F3" s="171"/>
      <c r="G3" s="94"/>
      <c r="H3" s="94"/>
      <c r="I3" s="209" t="s">
        <v>167</v>
      </c>
      <c r="J3" s="210">
        <v>45748</v>
      </c>
      <c r="K3" s="210">
        <v>45778</v>
      </c>
      <c r="L3" s="210">
        <v>45809</v>
      </c>
      <c r="M3" s="210">
        <v>45839</v>
      </c>
      <c r="N3" s="210">
        <v>45870</v>
      </c>
      <c r="O3" s="210">
        <v>45901</v>
      </c>
      <c r="P3" s="210">
        <v>45931</v>
      </c>
      <c r="Q3" s="210">
        <v>45962</v>
      </c>
      <c r="R3" s="210">
        <v>45992</v>
      </c>
      <c r="S3" s="210">
        <v>46023</v>
      </c>
      <c r="T3" s="210">
        <v>46054</v>
      </c>
      <c r="U3" s="210">
        <v>46082</v>
      </c>
      <c r="V3" s="210" t="s">
        <v>168</v>
      </c>
      <c r="W3" s="210" t="s">
        <v>169</v>
      </c>
      <c r="Y3" s="210" t="s">
        <v>170</v>
      </c>
      <c r="Z3" s="210" t="s">
        <v>171</v>
      </c>
      <c r="AA3" s="210" t="s">
        <v>172</v>
      </c>
      <c r="AB3" s="210" t="s">
        <v>173</v>
      </c>
    </row>
    <row r="4" spans="1:28" ht="20.100000000000001" customHeight="1">
      <c r="A4" s="56"/>
      <c r="B4" s="593" t="s">
        <v>174</v>
      </c>
      <c r="C4" s="594"/>
      <c r="D4" s="594"/>
      <c r="E4" s="594"/>
      <c r="F4" s="595"/>
      <c r="G4" s="602"/>
      <c r="H4" s="180"/>
      <c r="I4" s="223" t="s">
        <v>175</v>
      </c>
      <c r="J4" s="111">
        <f>SUM(J5:J7)</f>
        <v>1114.5</v>
      </c>
      <c r="K4" s="111">
        <f t="shared" ref="K4:U4" si="0">SUM(K5:K7)</f>
        <v>532</v>
      </c>
      <c r="L4" s="111">
        <f t="shared" si="0"/>
        <v>1546.4</v>
      </c>
      <c r="M4" s="111">
        <f t="shared" si="0"/>
        <v>643.59999999999991</v>
      </c>
      <c r="N4" s="111">
        <f t="shared" si="0"/>
        <v>26</v>
      </c>
      <c r="O4" s="111">
        <f t="shared" si="0"/>
        <v>459</v>
      </c>
      <c r="P4" s="111">
        <f t="shared" si="0"/>
        <v>419</v>
      </c>
      <c r="Q4" s="111">
        <f t="shared" si="0"/>
        <v>655</v>
      </c>
      <c r="R4" s="111">
        <f t="shared" si="0"/>
        <v>1039</v>
      </c>
      <c r="S4" s="111">
        <f t="shared" si="0"/>
        <v>562.4</v>
      </c>
      <c r="T4" s="111">
        <f t="shared" si="0"/>
        <v>0</v>
      </c>
      <c r="U4" s="111">
        <f t="shared" si="0"/>
        <v>75.899999999999991</v>
      </c>
      <c r="V4" s="111">
        <f>SUM(J4:U4)</f>
        <v>7072.7999999999993</v>
      </c>
      <c r="W4" s="111">
        <f t="shared" ref="W4:W15" ca="1" si="1">SUM(OFFSET(J4,0,0,1,$A$1))</f>
        <v>5395.5</v>
      </c>
      <c r="Y4" s="111">
        <f ca="1">SUM(OFFSET($J4,0,0,1,$A$2))</f>
        <v>3192.9</v>
      </c>
      <c r="Z4" s="111">
        <f ca="1">SUM(OFFSET($M4,0,0,1,$A$2))</f>
        <v>1128.5999999999999</v>
      </c>
      <c r="AA4" s="111">
        <f ca="1">SUM(OFFSET($P4,0,0,1,$A$2))</f>
        <v>2113</v>
      </c>
      <c r="AB4" s="111">
        <f ca="1">SUM(OFFSET($S4,0,0,1,$A$2))</f>
        <v>638.29999999999995</v>
      </c>
    </row>
    <row r="5" spans="1:28" ht="20.100000000000001" customHeight="1">
      <c r="A5" s="56"/>
      <c r="B5" s="596"/>
      <c r="C5" s="597"/>
      <c r="D5" s="597"/>
      <c r="E5" s="597"/>
      <c r="F5" s="598"/>
      <c r="G5" s="602"/>
      <c r="H5" s="188"/>
      <c r="I5" s="203" t="s">
        <v>44</v>
      </c>
      <c r="J5" s="197">
        <f>+J19+J212</f>
        <v>582.5</v>
      </c>
      <c r="K5" s="197">
        <f t="shared" ref="K5:U5" si="2">+K19+K212</f>
        <v>0</v>
      </c>
      <c r="L5" s="197">
        <f t="shared" si="2"/>
        <v>475</v>
      </c>
      <c r="M5" s="197">
        <f t="shared" si="2"/>
        <v>622.79999999999995</v>
      </c>
      <c r="N5" s="197">
        <f t="shared" si="2"/>
        <v>26</v>
      </c>
      <c r="O5" s="197">
        <f t="shared" si="2"/>
        <v>459</v>
      </c>
      <c r="P5" s="197">
        <f t="shared" si="2"/>
        <v>419</v>
      </c>
      <c r="Q5" s="197">
        <f t="shared" si="2"/>
        <v>351</v>
      </c>
      <c r="R5" s="197">
        <f t="shared" si="2"/>
        <v>909</v>
      </c>
      <c r="S5" s="197">
        <f t="shared" si="2"/>
        <v>300</v>
      </c>
      <c r="T5" s="197">
        <f t="shared" si="2"/>
        <v>0</v>
      </c>
      <c r="U5" s="197">
        <f t="shared" si="2"/>
        <v>0</v>
      </c>
      <c r="V5" s="194">
        <f t="shared" ref="V5:V15" si="3">SUM(J5:U5)</f>
        <v>4144.3</v>
      </c>
      <c r="W5" s="194">
        <f t="shared" ca="1" si="1"/>
        <v>2935.3</v>
      </c>
      <c r="Y5" s="197">
        <f t="shared" ref="Y5:Y15" ca="1" si="4">SUM(OFFSET($J5,0,0,1,$A$2))</f>
        <v>1057.5</v>
      </c>
      <c r="Z5" s="197">
        <f t="shared" ref="Z5:Z15" ca="1" si="5">SUM(OFFSET($M5,0,0,1,$A$2))</f>
        <v>1107.8</v>
      </c>
      <c r="AA5" s="197">
        <f t="shared" ref="AA5:AA15" ca="1" si="6">SUM(OFFSET($P5,0,0,1,$A$2))</f>
        <v>1679</v>
      </c>
      <c r="AB5" s="197">
        <f t="shared" ref="AB5:AB15" ca="1" si="7">SUM(OFFSET($S5,0,0,1,$A$2))</f>
        <v>300</v>
      </c>
    </row>
    <row r="6" spans="1:28" ht="20.100000000000001" customHeight="1">
      <c r="B6" s="596"/>
      <c r="C6" s="597"/>
      <c r="D6" s="597"/>
      <c r="E6" s="597"/>
      <c r="F6" s="598"/>
      <c r="G6" s="602"/>
      <c r="H6" s="189"/>
      <c r="I6" s="204" t="s">
        <v>33</v>
      </c>
      <c r="J6" s="199">
        <f t="shared" ref="J6:U6" si="8">+J20+J213</f>
        <v>506</v>
      </c>
      <c r="K6" s="199">
        <f t="shared" si="8"/>
        <v>500.8</v>
      </c>
      <c r="L6" s="199">
        <f t="shared" si="8"/>
        <v>646.4</v>
      </c>
      <c r="M6" s="199">
        <f t="shared" si="8"/>
        <v>20.8</v>
      </c>
      <c r="N6" s="199">
        <f t="shared" si="8"/>
        <v>0</v>
      </c>
      <c r="O6" s="199">
        <f t="shared" si="8"/>
        <v>0</v>
      </c>
      <c r="P6" s="199">
        <f t="shared" si="8"/>
        <v>0</v>
      </c>
      <c r="Q6" s="199">
        <f t="shared" si="8"/>
        <v>304</v>
      </c>
      <c r="R6" s="199">
        <f t="shared" si="8"/>
        <v>130</v>
      </c>
      <c r="S6" s="199">
        <f t="shared" si="8"/>
        <v>262.39999999999998</v>
      </c>
      <c r="T6" s="199">
        <f t="shared" si="8"/>
        <v>0</v>
      </c>
      <c r="U6" s="199">
        <f t="shared" si="8"/>
        <v>75.899999999999991</v>
      </c>
      <c r="V6" s="195">
        <f t="shared" si="3"/>
        <v>2446.3000000000002</v>
      </c>
      <c r="W6" s="195">
        <f t="shared" ca="1" si="1"/>
        <v>1977.9999999999998</v>
      </c>
      <c r="Y6" s="199">
        <f t="shared" ca="1" si="4"/>
        <v>1653.1999999999998</v>
      </c>
      <c r="Z6" s="199">
        <f t="shared" ca="1" si="5"/>
        <v>20.8</v>
      </c>
      <c r="AA6" s="199">
        <f t="shared" ca="1" si="6"/>
        <v>434</v>
      </c>
      <c r="AB6" s="199">
        <f t="shared" ca="1" si="7"/>
        <v>338.29999999999995</v>
      </c>
    </row>
    <row r="7" spans="1:28" ht="20.100000000000001" customHeight="1">
      <c r="B7" s="596"/>
      <c r="C7" s="597"/>
      <c r="D7" s="597"/>
      <c r="E7" s="597"/>
      <c r="F7" s="598"/>
      <c r="G7" s="602"/>
      <c r="H7" s="190"/>
      <c r="I7" s="205" t="s">
        <v>62</v>
      </c>
      <c r="J7" s="201">
        <f t="shared" ref="J7:U7" si="9">+J21+J214</f>
        <v>26</v>
      </c>
      <c r="K7" s="201">
        <f t="shared" si="9"/>
        <v>31.200000000000003</v>
      </c>
      <c r="L7" s="201">
        <f t="shared" si="9"/>
        <v>425</v>
      </c>
      <c r="M7" s="201">
        <f t="shared" si="9"/>
        <v>0</v>
      </c>
      <c r="N7" s="201">
        <f t="shared" si="9"/>
        <v>0</v>
      </c>
      <c r="O7" s="201">
        <f t="shared" si="9"/>
        <v>0</v>
      </c>
      <c r="P7" s="201">
        <f t="shared" si="9"/>
        <v>0</v>
      </c>
      <c r="Q7" s="201">
        <f t="shared" si="9"/>
        <v>0</v>
      </c>
      <c r="R7" s="201">
        <f t="shared" si="9"/>
        <v>0</v>
      </c>
      <c r="S7" s="201">
        <f t="shared" si="9"/>
        <v>0</v>
      </c>
      <c r="T7" s="201">
        <f t="shared" si="9"/>
        <v>0</v>
      </c>
      <c r="U7" s="201">
        <f t="shared" si="9"/>
        <v>0</v>
      </c>
      <c r="V7" s="196">
        <f t="shared" si="3"/>
        <v>482.2</v>
      </c>
      <c r="W7" s="196">
        <f t="shared" ca="1" si="1"/>
        <v>482.2</v>
      </c>
      <c r="Y7" s="201">
        <f t="shared" ca="1" si="4"/>
        <v>482.2</v>
      </c>
      <c r="Z7" s="201">
        <f t="shared" ca="1" si="5"/>
        <v>0</v>
      </c>
      <c r="AA7" s="201">
        <f t="shared" ca="1" si="6"/>
        <v>0</v>
      </c>
      <c r="AB7" s="201">
        <f t="shared" ca="1" si="7"/>
        <v>0</v>
      </c>
    </row>
    <row r="8" spans="1:28" ht="20.100000000000001" customHeight="1">
      <c r="B8" s="596"/>
      <c r="C8" s="597"/>
      <c r="D8" s="597"/>
      <c r="E8" s="597"/>
      <c r="F8" s="598"/>
      <c r="G8" s="602"/>
      <c r="H8" s="180"/>
      <c r="I8" s="223" t="s">
        <v>176</v>
      </c>
      <c r="J8" s="111">
        <f t="shared" ref="J8" si="10">SUM(J9:J11)</f>
        <v>474</v>
      </c>
      <c r="K8" s="111">
        <f t="shared" ref="K8:U8" si="11">SUM(K9:K11)</f>
        <v>313.5</v>
      </c>
      <c r="L8" s="111">
        <f t="shared" si="11"/>
        <v>848.7</v>
      </c>
      <c r="M8" s="111">
        <f t="shared" si="11"/>
        <v>575.5</v>
      </c>
      <c r="N8" s="111">
        <f t="shared" si="11"/>
        <v>653</v>
      </c>
      <c r="O8" s="111">
        <f t="shared" si="11"/>
        <v>353</v>
      </c>
      <c r="P8" s="111">
        <f t="shared" si="11"/>
        <v>366</v>
      </c>
      <c r="Q8" s="111">
        <f t="shared" si="11"/>
        <v>459</v>
      </c>
      <c r="R8" s="111">
        <f t="shared" si="11"/>
        <v>782.8</v>
      </c>
      <c r="S8" s="111">
        <f t="shared" si="11"/>
        <v>971</v>
      </c>
      <c r="T8" s="111">
        <f t="shared" si="11"/>
        <v>880</v>
      </c>
      <c r="U8" s="111">
        <f t="shared" si="11"/>
        <v>396.3</v>
      </c>
      <c r="V8" s="111">
        <f t="shared" si="3"/>
        <v>7072.8</v>
      </c>
      <c r="W8" s="111">
        <f t="shared" ca="1" si="1"/>
        <v>4042.7</v>
      </c>
      <c r="Y8" s="111">
        <f t="shared" ca="1" si="4"/>
        <v>1636.2</v>
      </c>
      <c r="Z8" s="111">
        <f t="shared" ca="1" si="5"/>
        <v>1581.5</v>
      </c>
      <c r="AA8" s="111">
        <f t="shared" ca="1" si="6"/>
        <v>1607.8</v>
      </c>
      <c r="AB8" s="111">
        <f t="shared" ca="1" si="7"/>
        <v>2247.3000000000002</v>
      </c>
    </row>
    <row r="9" spans="1:28" ht="20.100000000000001" customHeight="1">
      <c r="B9" s="596"/>
      <c r="C9" s="597"/>
      <c r="D9" s="597"/>
      <c r="E9" s="597"/>
      <c r="F9" s="598"/>
      <c r="G9" s="602"/>
      <c r="H9" s="188"/>
      <c r="I9" s="203" t="s">
        <v>44</v>
      </c>
      <c r="J9" s="197">
        <f>+J23+J216</f>
        <v>320</v>
      </c>
      <c r="K9" s="197">
        <f t="shared" ref="K9:U9" si="12">+K23+K216</f>
        <v>162.5</v>
      </c>
      <c r="L9" s="197">
        <f t="shared" si="12"/>
        <v>462.5</v>
      </c>
      <c r="M9" s="197">
        <f t="shared" si="12"/>
        <v>187.5</v>
      </c>
      <c r="N9" s="197">
        <f t="shared" si="12"/>
        <v>150</v>
      </c>
      <c r="O9" s="197">
        <f t="shared" si="12"/>
        <v>200</v>
      </c>
      <c r="P9" s="197">
        <f t="shared" si="12"/>
        <v>100</v>
      </c>
      <c r="Q9" s="197">
        <f t="shared" si="12"/>
        <v>254</v>
      </c>
      <c r="R9" s="197">
        <f t="shared" si="12"/>
        <v>782.8</v>
      </c>
      <c r="S9" s="197">
        <f t="shared" si="12"/>
        <v>717</v>
      </c>
      <c r="T9" s="197">
        <f t="shared" si="12"/>
        <v>550</v>
      </c>
      <c r="U9" s="197">
        <f t="shared" si="12"/>
        <v>258</v>
      </c>
      <c r="V9" s="194">
        <f t="shared" si="3"/>
        <v>4144.3</v>
      </c>
      <c r="W9" s="194">
        <f t="shared" ca="1" si="1"/>
        <v>1836.5</v>
      </c>
      <c r="Y9" s="197">
        <f t="shared" ca="1" si="4"/>
        <v>945</v>
      </c>
      <c r="Z9" s="197">
        <f t="shared" ca="1" si="5"/>
        <v>537.5</v>
      </c>
      <c r="AA9" s="197">
        <f t="shared" ca="1" si="6"/>
        <v>1136.8</v>
      </c>
      <c r="AB9" s="197">
        <f t="shared" ca="1" si="7"/>
        <v>1525</v>
      </c>
    </row>
    <row r="10" spans="1:28" ht="20.100000000000001" customHeight="1">
      <c r="B10" s="596"/>
      <c r="C10" s="597"/>
      <c r="D10" s="597"/>
      <c r="E10" s="597"/>
      <c r="F10" s="598"/>
      <c r="G10" s="602"/>
      <c r="H10" s="189"/>
      <c r="I10" s="204" t="s">
        <v>33</v>
      </c>
      <c r="J10" s="199">
        <f t="shared" ref="J10:U10" si="13">+J24+J217</f>
        <v>154</v>
      </c>
      <c r="K10" s="199">
        <f t="shared" si="13"/>
        <v>125</v>
      </c>
      <c r="L10" s="199">
        <f t="shared" si="13"/>
        <v>355</v>
      </c>
      <c r="M10" s="199">
        <f t="shared" si="13"/>
        <v>238</v>
      </c>
      <c r="N10" s="199">
        <f t="shared" si="13"/>
        <v>278</v>
      </c>
      <c r="O10" s="199">
        <f t="shared" si="13"/>
        <v>153</v>
      </c>
      <c r="P10" s="199">
        <f t="shared" si="13"/>
        <v>216</v>
      </c>
      <c r="Q10" s="199">
        <f t="shared" si="13"/>
        <v>205</v>
      </c>
      <c r="R10" s="199">
        <f t="shared" si="13"/>
        <v>0</v>
      </c>
      <c r="S10" s="199">
        <f t="shared" si="13"/>
        <v>254</v>
      </c>
      <c r="T10" s="199">
        <f t="shared" si="13"/>
        <v>330</v>
      </c>
      <c r="U10" s="199">
        <f t="shared" si="13"/>
        <v>138.30000000000001</v>
      </c>
      <c r="V10" s="195">
        <f t="shared" si="3"/>
        <v>2446.3000000000002</v>
      </c>
      <c r="W10" s="195">
        <f t="shared" ca="1" si="1"/>
        <v>1724</v>
      </c>
      <c r="Y10" s="199">
        <f t="shared" ca="1" si="4"/>
        <v>634</v>
      </c>
      <c r="Z10" s="199">
        <f t="shared" ca="1" si="5"/>
        <v>669</v>
      </c>
      <c r="AA10" s="199">
        <f t="shared" ca="1" si="6"/>
        <v>421</v>
      </c>
      <c r="AB10" s="199">
        <f t="shared" ca="1" si="7"/>
        <v>722.3</v>
      </c>
    </row>
    <row r="11" spans="1:28" ht="20.100000000000001" customHeight="1">
      <c r="B11" s="596"/>
      <c r="C11" s="597"/>
      <c r="D11" s="597"/>
      <c r="E11" s="597"/>
      <c r="F11" s="598"/>
      <c r="G11" s="602"/>
      <c r="H11" s="190"/>
      <c r="I11" s="205" t="s">
        <v>62</v>
      </c>
      <c r="J11" s="201">
        <f t="shared" ref="J11:U11" si="14">+J25+J218</f>
        <v>0</v>
      </c>
      <c r="K11" s="201">
        <f t="shared" si="14"/>
        <v>26</v>
      </c>
      <c r="L11" s="201">
        <f t="shared" si="14"/>
        <v>31.200000000000003</v>
      </c>
      <c r="M11" s="201">
        <f t="shared" si="14"/>
        <v>150</v>
      </c>
      <c r="N11" s="201">
        <f t="shared" si="14"/>
        <v>225</v>
      </c>
      <c r="O11" s="201">
        <f t="shared" si="14"/>
        <v>0</v>
      </c>
      <c r="P11" s="201">
        <f t="shared" si="14"/>
        <v>50</v>
      </c>
      <c r="Q11" s="201">
        <f t="shared" si="14"/>
        <v>0</v>
      </c>
      <c r="R11" s="201">
        <f t="shared" si="14"/>
        <v>0</v>
      </c>
      <c r="S11" s="201">
        <f t="shared" si="14"/>
        <v>0</v>
      </c>
      <c r="T11" s="201">
        <f t="shared" si="14"/>
        <v>0</v>
      </c>
      <c r="U11" s="201">
        <f t="shared" si="14"/>
        <v>0</v>
      </c>
      <c r="V11" s="196">
        <f t="shared" si="3"/>
        <v>482.2</v>
      </c>
      <c r="W11" s="196">
        <f t="shared" ca="1" si="1"/>
        <v>482.2</v>
      </c>
      <c r="Y11" s="201">
        <f t="shared" ca="1" si="4"/>
        <v>57.2</v>
      </c>
      <c r="Z11" s="201">
        <f t="shared" ca="1" si="5"/>
        <v>375</v>
      </c>
      <c r="AA11" s="201">
        <f t="shared" ca="1" si="6"/>
        <v>50</v>
      </c>
      <c r="AB11" s="201">
        <f t="shared" ca="1" si="7"/>
        <v>0</v>
      </c>
    </row>
    <row r="12" spans="1:28" ht="20.100000000000001" customHeight="1">
      <c r="B12" s="596"/>
      <c r="C12" s="597"/>
      <c r="D12" s="597"/>
      <c r="E12" s="597"/>
      <c r="F12" s="598"/>
      <c r="G12" s="602"/>
      <c r="H12" s="180"/>
      <c r="I12" s="223" t="s">
        <v>177</v>
      </c>
      <c r="J12" s="111">
        <f t="shared" ref="J12" si="15">SUM(J13:J15)</f>
        <v>474</v>
      </c>
      <c r="K12" s="111">
        <f t="shared" ref="K12:U12" si="16">SUM(K13:K15)</f>
        <v>313.5</v>
      </c>
      <c r="L12" s="111">
        <f t="shared" si="16"/>
        <v>848.7</v>
      </c>
      <c r="M12" s="111">
        <f t="shared" si="16"/>
        <v>127.6</v>
      </c>
      <c r="N12" s="111">
        <f t="shared" si="16"/>
        <v>537.29999999999995</v>
      </c>
      <c r="O12" s="111">
        <f t="shared" si="16"/>
        <v>531.20000000000005</v>
      </c>
      <c r="P12" s="111">
        <f t="shared" si="16"/>
        <v>203</v>
      </c>
      <c r="Q12" s="111">
        <f t="shared" si="16"/>
        <v>333.20000000000005</v>
      </c>
      <c r="R12" s="111">
        <f t="shared" si="16"/>
        <v>482.2</v>
      </c>
      <c r="S12" s="111">
        <f t="shared" si="16"/>
        <v>951.9</v>
      </c>
      <c r="T12" s="111">
        <f t="shared" si="16"/>
        <v>876.1</v>
      </c>
      <c r="U12" s="111">
        <f t="shared" si="16"/>
        <v>910.09999999999991</v>
      </c>
      <c r="V12" s="111">
        <f t="shared" si="3"/>
        <v>6588.7999999999993</v>
      </c>
      <c r="W12" s="111">
        <f t="shared" ca="1" si="1"/>
        <v>3368.5</v>
      </c>
      <c r="Y12" s="111">
        <f t="shared" ca="1" si="4"/>
        <v>1636.2</v>
      </c>
      <c r="Z12" s="111">
        <f t="shared" ca="1" si="5"/>
        <v>1196.0999999999999</v>
      </c>
      <c r="AA12" s="111">
        <f t="shared" ca="1" si="6"/>
        <v>1018.4000000000001</v>
      </c>
      <c r="AB12" s="111">
        <f t="shared" ca="1" si="7"/>
        <v>2738.1</v>
      </c>
    </row>
    <row r="13" spans="1:28" ht="20.100000000000001" customHeight="1">
      <c r="B13" s="596"/>
      <c r="C13" s="597"/>
      <c r="D13" s="597"/>
      <c r="E13" s="597"/>
      <c r="F13" s="598"/>
      <c r="G13" s="602"/>
      <c r="H13" s="188"/>
      <c r="I13" s="203" t="s">
        <v>44</v>
      </c>
      <c r="J13" s="197">
        <f>+J27+J220</f>
        <v>320</v>
      </c>
      <c r="K13" s="197">
        <f t="shared" ref="K13:U13" si="17">+K27+K220</f>
        <v>162.5</v>
      </c>
      <c r="L13" s="197">
        <f t="shared" si="17"/>
        <v>462.5</v>
      </c>
      <c r="M13" s="197">
        <f t="shared" si="17"/>
        <v>0</v>
      </c>
      <c r="N13" s="197">
        <f t="shared" si="17"/>
        <v>137.5</v>
      </c>
      <c r="O13" s="197">
        <f t="shared" si="17"/>
        <v>175</v>
      </c>
      <c r="P13" s="197">
        <f t="shared" si="17"/>
        <v>203</v>
      </c>
      <c r="Q13" s="197">
        <f t="shared" si="17"/>
        <v>246.8</v>
      </c>
      <c r="R13" s="197">
        <f t="shared" si="17"/>
        <v>207.2</v>
      </c>
      <c r="S13" s="197">
        <f t="shared" si="17"/>
        <v>575</v>
      </c>
      <c r="T13" s="197">
        <f t="shared" si="17"/>
        <v>425</v>
      </c>
      <c r="U13" s="197">
        <f t="shared" si="17"/>
        <v>745.8</v>
      </c>
      <c r="V13" s="194">
        <f t="shared" si="3"/>
        <v>3660.3</v>
      </c>
      <c r="W13" s="194">
        <f t="shared" ca="1" si="1"/>
        <v>1707.3</v>
      </c>
      <c r="Y13" s="197">
        <f t="shared" ca="1" si="4"/>
        <v>945</v>
      </c>
      <c r="Z13" s="197">
        <f t="shared" ca="1" si="5"/>
        <v>312.5</v>
      </c>
      <c r="AA13" s="197">
        <f t="shared" ca="1" si="6"/>
        <v>657</v>
      </c>
      <c r="AB13" s="197">
        <f t="shared" ca="1" si="7"/>
        <v>1745.8</v>
      </c>
    </row>
    <row r="14" spans="1:28" ht="20.100000000000001" customHeight="1">
      <c r="B14" s="596"/>
      <c r="C14" s="597"/>
      <c r="D14" s="597"/>
      <c r="E14" s="597"/>
      <c r="F14" s="598"/>
      <c r="G14" s="602"/>
      <c r="H14" s="189"/>
      <c r="I14" s="204" t="s">
        <v>33</v>
      </c>
      <c r="J14" s="199">
        <f t="shared" ref="J14:U14" si="18">+J28+J221</f>
        <v>154</v>
      </c>
      <c r="K14" s="199">
        <f t="shared" si="18"/>
        <v>125</v>
      </c>
      <c r="L14" s="199">
        <f t="shared" si="18"/>
        <v>355</v>
      </c>
      <c r="M14" s="199">
        <f t="shared" si="18"/>
        <v>127.6</v>
      </c>
      <c r="N14" s="199">
        <f t="shared" si="18"/>
        <v>249.8</v>
      </c>
      <c r="O14" s="199">
        <f t="shared" si="18"/>
        <v>306.2</v>
      </c>
      <c r="P14" s="199">
        <f t="shared" si="18"/>
        <v>0</v>
      </c>
      <c r="Q14" s="199">
        <f t="shared" si="18"/>
        <v>86.4</v>
      </c>
      <c r="R14" s="199">
        <f t="shared" si="18"/>
        <v>50</v>
      </c>
      <c r="S14" s="199">
        <f t="shared" si="18"/>
        <v>376.9</v>
      </c>
      <c r="T14" s="199">
        <f t="shared" si="18"/>
        <v>451.1</v>
      </c>
      <c r="U14" s="199">
        <f t="shared" si="18"/>
        <v>164.3</v>
      </c>
      <c r="V14" s="195">
        <f t="shared" si="3"/>
        <v>2446.3000000000002</v>
      </c>
      <c r="W14" s="195">
        <f t="shared" ca="1" si="1"/>
        <v>1404.0000000000002</v>
      </c>
      <c r="Y14" s="199">
        <f t="shared" ca="1" si="4"/>
        <v>634</v>
      </c>
      <c r="Z14" s="199">
        <f t="shared" ca="1" si="5"/>
        <v>683.59999999999991</v>
      </c>
      <c r="AA14" s="199">
        <f t="shared" ca="1" si="6"/>
        <v>136.4</v>
      </c>
      <c r="AB14" s="199">
        <f t="shared" ca="1" si="7"/>
        <v>992.3</v>
      </c>
    </row>
    <row r="15" spans="1:28" ht="20.100000000000001" customHeight="1">
      <c r="B15" s="599"/>
      <c r="C15" s="600"/>
      <c r="D15" s="600"/>
      <c r="E15" s="600"/>
      <c r="F15" s="601"/>
      <c r="G15" s="602"/>
      <c r="H15" s="190"/>
      <c r="I15" s="205" t="s">
        <v>62</v>
      </c>
      <c r="J15" s="201">
        <f t="shared" ref="J15:U15" si="19">+J29+J222</f>
        <v>0</v>
      </c>
      <c r="K15" s="201">
        <f t="shared" si="19"/>
        <v>26</v>
      </c>
      <c r="L15" s="201">
        <f t="shared" si="19"/>
        <v>31.200000000000003</v>
      </c>
      <c r="M15" s="201">
        <f t="shared" si="19"/>
        <v>0</v>
      </c>
      <c r="N15" s="201">
        <f t="shared" si="19"/>
        <v>150</v>
      </c>
      <c r="O15" s="201">
        <f t="shared" si="19"/>
        <v>50</v>
      </c>
      <c r="P15" s="201">
        <f t="shared" si="19"/>
        <v>0</v>
      </c>
      <c r="Q15" s="201">
        <f t="shared" si="19"/>
        <v>0</v>
      </c>
      <c r="R15" s="201">
        <f t="shared" si="19"/>
        <v>225</v>
      </c>
      <c r="S15" s="201">
        <f t="shared" si="19"/>
        <v>0</v>
      </c>
      <c r="T15" s="201">
        <f t="shared" si="19"/>
        <v>0</v>
      </c>
      <c r="U15" s="201">
        <f t="shared" si="19"/>
        <v>0</v>
      </c>
      <c r="V15" s="196">
        <f t="shared" si="3"/>
        <v>482.2</v>
      </c>
      <c r="W15" s="196">
        <f t="shared" ca="1" si="1"/>
        <v>257.2</v>
      </c>
      <c r="Y15" s="201">
        <f t="shared" ca="1" si="4"/>
        <v>57.2</v>
      </c>
      <c r="Z15" s="201">
        <f t="shared" ca="1" si="5"/>
        <v>200</v>
      </c>
      <c r="AA15" s="201">
        <f t="shared" ca="1" si="6"/>
        <v>225</v>
      </c>
      <c r="AB15" s="201">
        <f t="shared" ca="1" si="7"/>
        <v>0</v>
      </c>
    </row>
    <row r="16" spans="1:28" ht="14.25" customHeight="1">
      <c r="V16"/>
      <c r="W16"/>
      <c r="Y16"/>
      <c r="Z16"/>
      <c r="AA16"/>
      <c r="AB16"/>
    </row>
    <row r="17" spans="1:28" ht="39" customHeight="1">
      <c r="A17" s="56"/>
      <c r="B17" s="43"/>
      <c r="C17" s="43"/>
      <c r="D17" s="171"/>
      <c r="E17" s="171"/>
      <c r="F17" s="171"/>
      <c r="G17" s="94"/>
      <c r="H17" s="94"/>
      <c r="I17" s="209" t="s">
        <v>167</v>
      </c>
      <c r="J17" s="210">
        <v>45748</v>
      </c>
      <c r="K17" s="210">
        <v>45778</v>
      </c>
      <c r="L17" s="210">
        <v>45809</v>
      </c>
      <c r="M17" s="210">
        <v>45839</v>
      </c>
      <c r="N17" s="210">
        <v>45870</v>
      </c>
      <c r="O17" s="210">
        <v>45901</v>
      </c>
      <c r="P17" s="210">
        <v>45931</v>
      </c>
      <c r="Q17" s="210">
        <v>45962</v>
      </c>
      <c r="R17" s="210">
        <v>45992</v>
      </c>
      <c r="S17" s="210">
        <v>46023</v>
      </c>
      <c r="T17" s="210">
        <v>46054</v>
      </c>
      <c r="U17" s="210">
        <v>46082</v>
      </c>
      <c r="V17" s="210" t="s">
        <v>168</v>
      </c>
      <c r="W17" s="210" t="str">
        <f>+W3</f>
        <v>Cumm till 30-Nov-25</v>
      </c>
      <c r="Y17" s="210" t="s">
        <v>170</v>
      </c>
      <c r="Z17" s="210" t="s">
        <v>171</v>
      </c>
      <c r="AA17" s="210" t="s">
        <v>172</v>
      </c>
      <c r="AB17" s="210" t="s">
        <v>173</v>
      </c>
    </row>
    <row r="18" spans="1:28" ht="20.100000000000001" customHeight="1">
      <c r="A18" s="56"/>
      <c r="B18" s="603" t="s">
        <v>178</v>
      </c>
      <c r="C18" s="604"/>
      <c r="D18" s="604"/>
      <c r="E18" s="604"/>
      <c r="F18" s="605"/>
      <c r="G18" s="602"/>
      <c r="H18" s="180"/>
      <c r="I18" s="223" t="s">
        <v>175</v>
      </c>
      <c r="J18" s="111">
        <f>SUM(J19:J21)</f>
        <v>932.5</v>
      </c>
      <c r="K18" s="111">
        <f t="shared" ref="K18" si="20">SUM(K19:K21)</f>
        <v>350</v>
      </c>
      <c r="L18" s="111">
        <f t="shared" ref="L18" si="21">SUM(L19:L21)</f>
        <v>1302</v>
      </c>
      <c r="M18" s="111">
        <f t="shared" ref="M18" si="22">SUM(M19:M21)</f>
        <v>550</v>
      </c>
      <c r="N18" s="111">
        <f t="shared" ref="N18" si="23">SUM(N19:N21)</f>
        <v>0</v>
      </c>
      <c r="O18" s="111">
        <f t="shared" ref="O18" si="24">SUM(O19:O21)</f>
        <v>433</v>
      </c>
      <c r="P18" s="111">
        <f t="shared" ref="P18" si="25">SUM(P19:P21)</f>
        <v>367</v>
      </c>
      <c r="Q18" s="111">
        <f t="shared" ref="Q18" si="26">SUM(Q19:Q21)</f>
        <v>525</v>
      </c>
      <c r="R18" s="111">
        <f t="shared" ref="R18" si="27">SUM(R19:R21)</f>
        <v>909</v>
      </c>
      <c r="S18" s="111">
        <f t="shared" ref="S18" si="28">SUM(S19:S21)</f>
        <v>500</v>
      </c>
      <c r="T18" s="111">
        <f t="shared" ref="T18" si="29">SUM(T19:T21)</f>
        <v>0</v>
      </c>
      <c r="U18" s="111">
        <f t="shared" ref="U18" si="30">SUM(U19:U21)</f>
        <v>0</v>
      </c>
      <c r="V18" s="111">
        <f>SUM(J18:U18)</f>
        <v>5868.5</v>
      </c>
      <c r="W18" s="111">
        <f t="shared" ref="W18:W29" ca="1" si="31">SUM(OFFSET(J18,0,0,1,$A$1))</f>
        <v>4459.5</v>
      </c>
      <c r="Y18" s="111">
        <f ca="1">SUM(OFFSET($J18,0,0,1,$A$2))</f>
        <v>2584.5</v>
      </c>
      <c r="Z18" s="111">
        <f ca="1">SUM(OFFSET($M18,0,0,1,$A$2))</f>
        <v>983</v>
      </c>
      <c r="AA18" s="111">
        <f ca="1">SUM(OFFSET($P18,0,0,1,$A$2))</f>
        <v>1801</v>
      </c>
      <c r="AB18" s="111">
        <f ca="1">SUM(OFFSET($S18,0,0,1,$A$2))</f>
        <v>500</v>
      </c>
    </row>
    <row r="19" spans="1:28" ht="20.100000000000001" customHeight="1">
      <c r="A19" s="56"/>
      <c r="B19" s="606"/>
      <c r="C19" s="607"/>
      <c r="D19" s="607"/>
      <c r="E19" s="607"/>
      <c r="F19" s="608"/>
      <c r="G19" s="602"/>
      <c r="H19" s="188"/>
      <c r="I19" s="203" t="s">
        <v>44</v>
      </c>
      <c r="J19" s="197">
        <f>J107+J134</f>
        <v>582.5</v>
      </c>
      <c r="K19" s="197">
        <f>K107+K134+K152</f>
        <v>0</v>
      </c>
      <c r="L19" s="197">
        <f t="shared" ref="L19:U19" si="32">L107+L134+L152</f>
        <v>475</v>
      </c>
      <c r="M19" s="197">
        <f t="shared" si="32"/>
        <v>550</v>
      </c>
      <c r="N19" s="197">
        <f t="shared" si="32"/>
        <v>0</v>
      </c>
      <c r="O19" s="197">
        <f t="shared" si="32"/>
        <v>433</v>
      </c>
      <c r="P19" s="197">
        <f t="shared" si="32"/>
        <v>367</v>
      </c>
      <c r="Q19" s="197">
        <f t="shared" si="32"/>
        <v>325</v>
      </c>
      <c r="R19" s="197">
        <f t="shared" si="32"/>
        <v>909</v>
      </c>
      <c r="S19" s="197">
        <f t="shared" si="32"/>
        <v>300</v>
      </c>
      <c r="T19" s="197">
        <f t="shared" si="32"/>
        <v>0</v>
      </c>
      <c r="U19" s="197">
        <f t="shared" si="32"/>
        <v>0</v>
      </c>
      <c r="V19" s="194">
        <f t="shared" ref="V19:V29" si="33">SUM(J19:U19)</f>
        <v>3941.5</v>
      </c>
      <c r="W19" s="194">
        <f t="shared" ca="1" si="31"/>
        <v>2732.5</v>
      </c>
      <c r="Y19" s="197">
        <f t="shared" ref="Y19:Y29" ca="1" si="34">SUM(OFFSET($J19,0,0,1,$A$2))</f>
        <v>1057.5</v>
      </c>
      <c r="Z19" s="197">
        <f t="shared" ref="Z19:Z29" ca="1" si="35">SUM(OFFSET($M19,0,0,1,$A$2))</f>
        <v>983</v>
      </c>
      <c r="AA19" s="197">
        <f t="shared" ref="AA19:AA29" ca="1" si="36">SUM(OFFSET($P19,0,0,1,$A$2))</f>
        <v>1601</v>
      </c>
      <c r="AB19" s="197">
        <f t="shared" ref="AB19:AB29" ca="1" si="37">SUM(OFFSET($S19,0,0,1,$A$2))</f>
        <v>300</v>
      </c>
    </row>
    <row r="20" spans="1:28" ht="20.100000000000001" customHeight="1">
      <c r="B20" s="606"/>
      <c r="C20" s="607"/>
      <c r="D20" s="607"/>
      <c r="E20" s="607"/>
      <c r="F20" s="608"/>
      <c r="G20" s="602"/>
      <c r="H20" s="189"/>
      <c r="I20" s="204" t="s">
        <v>33</v>
      </c>
      <c r="J20" s="199">
        <f t="shared" ref="J20" si="38">J108+J135</f>
        <v>350</v>
      </c>
      <c r="K20" s="199">
        <f t="shared" ref="K20:U20" si="39">K108+K135+K153</f>
        <v>350</v>
      </c>
      <c r="L20" s="199">
        <f t="shared" si="39"/>
        <v>402</v>
      </c>
      <c r="M20" s="199">
        <f t="shared" si="39"/>
        <v>0</v>
      </c>
      <c r="N20" s="199">
        <f t="shared" si="39"/>
        <v>0</v>
      </c>
      <c r="O20" s="199">
        <f t="shared" si="39"/>
        <v>0</v>
      </c>
      <c r="P20" s="199">
        <f t="shared" si="39"/>
        <v>0</v>
      </c>
      <c r="Q20" s="199">
        <f t="shared" si="39"/>
        <v>200</v>
      </c>
      <c r="R20" s="199">
        <f t="shared" si="39"/>
        <v>0</v>
      </c>
      <c r="S20" s="199">
        <f t="shared" si="39"/>
        <v>200</v>
      </c>
      <c r="T20" s="199">
        <f t="shared" si="39"/>
        <v>0</v>
      </c>
      <c r="U20" s="199">
        <f t="shared" si="39"/>
        <v>0</v>
      </c>
      <c r="V20" s="195">
        <f t="shared" si="33"/>
        <v>1502</v>
      </c>
      <c r="W20" s="195">
        <f t="shared" ca="1" si="31"/>
        <v>1302</v>
      </c>
      <c r="Y20" s="199">
        <f t="shared" ca="1" si="34"/>
        <v>1102</v>
      </c>
      <c r="Z20" s="199">
        <f t="shared" ca="1" si="35"/>
        <v>0</v>
      </c>
      <c r="AA20" s="199">
        <f t="shared" ca="1" si="36"/>
        <v>200</v>
      </c>
      <c r="AB20" s="199">
        <f t="shared" ca="1" si="37"/>
        <v>200</v>
      </c>
    </row>
    <row r="21" spans="1:28" ht="20.100000000000001" customHeight="1">
      <c r="B21" s="606"/>
      <c r="C21" s="607"/>
      <c r="D21" s="607"/>
      <c r="E21" s="607"/>
      <c r="F21" s="608"/>
      <c r="G21" s="602"/>
      <c r="H21" s="190"/>
      <c r="I21" s="205" t="s">
        <v>62</v>
      </c>
      <c r="J21" s="201">
        <f t="shared" ref="J21" si="40">J109+J136</f>
        <v>0</v>
      </c>
      <c r="K21" s="201">
        <f t="shared" ref="K21:U21" si="41">K109+K136+K154</f>
        <v>0</v>
      </c>
      <c r="L21" s="201">
        <f t="shared" si="41"/>
        <v>425</v>
      </c>
      <c r="M21" s="201">
        <f t="shared" si="41"/>
        <v>0</v>
      </c>
      <c r="N21" s="201">
        <f t="shared" si="41"/>
        <v>0</v>
      </c>
      <c r="O21" s="201">
        <f t="shared" si="41"/>
        <v>0</v>
      </c>
      <c r="P21" s="201">
        <f t="shared" si="41"/>
        <v>0</v>
      </c>
      <c r="Q21" s="201">
        <f t="shared" si="41"/>
        <v>0</v>
      </c>
      <c r="R21" s="201">
        <f t="shared" si="41"/>
        <v>0</v>
      </c>
      <c r="S21" s="201">
        <f t="shared" si="41"/>
        <v>0</v>
      </c>
      <c r="T21" s="201">
        <f t="shared" si="41"/>
        <v>0</v>
      </c>
      <c r="U21" s="201">
        <f t="shared" si="41"/>
        <v>0</v>
      </c>
      <c r="V21" s="196">
        <f t="shared" si="33"/>
        <v>425</v>
      </c>
      <c r="W21" s="196">
        <f t="shared" ca="1" si="31"/>
        <v>425</v>
      </c>
      <c r="Y21" s="201">
        <f t="shared" ca="1" si="34"/>
        <v>425</v>
      </c>
      <c r="Z21" s="201">
        <f t="shared" ca="1" si="35"/>
        <v>0</v>
      </c>
      <c r="AA21" s="201">
        <f t="shared" ca="1" si="36"/>
        <v>0</v>
      </c>
      <c r="AB21" s="201">
        <f t="shared" ca="1" si="37"/>
        <v>0</v>
      </c>
    </row>
    <row r="22" spans="1:28" ht="20.100000000000001" customHeight="1">
      <c r="B22" s="606"/>
      <c r="C22" s="607"/>
      <c r="D22" s="607"/>
      <c r="E22" s="607"/>
      <c r="F22" s="608"/>
      <c r="G22" s="602"/>
      <c r="H22" s="180"/>
      <c r="I22" s="223" t="s">
        <v>176</v>
      </c>
      <c r="J22" s="111">
        <f t="shared" ref="J22" si="42">SUM(J23:J25)</f>
        <v>370</v>
      </c>
      <c r="K22" s="111">
        <f t="shared" ref="K22" si="43">SUM(K23:K25)</f>
        <v>287.5</v>
      </c>
      <c r="L22" s="111">
        <f t="shared" ref="L22" si="44">SUM(L23:L25)</f>
        <v>687.5</v>
      </c>
      <c r="M22" s="111">
        <f t="shared" ref="M22" si="45">SUM(M23:M25)</f>
        <v>497.5</v>
      </c>
      <c r="N22" s="111">
        <f t="shared" ref="N22" si="46">SUM(N23:N25)</f>
        <v>575</v>
      </c>
      <c r="O22" s="111">
        <f t="shared" ref="O22" si="47">SUM(O23:O25)</f>
        <v>275</v>
      </c>
      <c r="P22" s="111">
        <f t="shared" ref="P22" si="48">SUM(P23:P25)</f>
        <v>262</v>
      </c>
      <c r="Q22" s="111">
        <f t="shared" ref="Q22" si="49">SUM(Q23:Q25)</f>
        <v>355</v>
      </c>
      <c r="R22" s="111">
        <f t="shared" ref="R22" si="50">SUM(R23:R25)</f>
        <v>684</v>
      </c>
      <c r="S22" s="111">
        <f t="shared" ref="S22" si="51">SUM(S23:S25)</f>
        <v>867</v>
      </c>
      <c r="T22" s="111">
        <f t="shared" ref="T22" si="52">SUM(T23:T25)</f>
        <v>750</v>
      </c>
      <c r="U22" s="111">
        <f t="shared" ref="U22" si="53">SUM(U23:U25)</f>
        <v>258</v>
      </c>
      <c r="V22" s="111">
        <f t="shared" si="33"/>
        <v>5868.5</v>
      </c>
      <c r="W22" s="111">
        <f t="shared" ca="1" si="31"/>
        <v>3309.5</v>
      </c>
      <c r="Y22" s="111">
        <f t="shared" ca="1" si="34"/>
        <v>1345</v>
      </c>
      <c r="Z22" s="111">
        <f t="shared" ca="1" si="35"/>
        <v>1347.5</v>
      </c>
      <c r="AA22" s="111">
        <f t="shared" ca="1" si="36"/>
        <v>1301</v>
      </c>
      <c r="AB22" s="111">
        <f t="shared" ca="1" si="37"/>
        <v>1875</v>
      </c>
    </row>
    <row r="23" spans="1:28" ht="20.100000000000001" customHeight="1">
      <c r="B23" s="606"/>
      <c r="C23" s="607"/>
      <c r="D23" s="607"/>
      <c r="E23" s="607"/>
      <c r="F23" s="608"/>
      <c r="G23" s="602"/>
      <c r="H23" s="188"/>
      <c r="I23" s="203" t="s">
        <v>44</v>
      </c>
      <c r="J23" s="197">
        <f t="shared" ref="J23" si="54">J111+J138</f>
        <v>320</v>
      </c>
      <c r="K23" s="197">
        <f>K111+K138+K156</f>
        <v>162.5</v>
      </c>
      <c r="L23" s="197">
        <f t="shared" ref="L23:U23" si="55">L111+L138+L156</f>
        <v>462.5</v>
      </c>
      <c r="M23" s="197">
        <f t="shared" si="55"/>
        <v>187.5</v>
      </c>
      <c r="N23" s="197">
        <f t="shared" si="55"/>
        <v>150</v>
      </c>
      <c r="O23" s="197">
        <f t="shared" si="55"/>
        <v>200</v>
      </c>
      <c r="P23" s="197">
        <f t="shared" si="55"/>
        <v>100</v>
      </c>
      <c r="Q23" s="197">
        <f t="shared" si="55"/>
        <v>150</v>
      </c>
      <c r="R23" s="197">
        <f t="shared" si="55"/>
        <v>684</v>
      </c>
      <c r="S23" s="197">
        <f t="shared" si="55"/>
        <v>717</v>
      </c>
      <c r="T23" s="197">
        <f t="shared" si="55"/>
        <v>550</v>
      </c>
      <c r="U23" s="197">
        <f t="shared" si="55"/>
        <v>258</v>
      </c>
      <c r="V23" s="194">
        <f t="shared" si="33"/>
        <v>3941.5</v>
      </c>
      <c r="W23" s="194">
        <f t="shared" ca="1" si="31"/>
        <v>1732.5</v>
      </c>
      <c r="Y23" s="197">
        <f t="shared" ca="1" si="34"/>
        <v>945</v>
      </c>
      <c r="Z23" s="197">
        <f t="shared" ca="1" si="35"/>
        <v>537.5</v>
      </c>
      <c r="AA23" s="197">
        <f t="shared" ca="1" si="36"/>
        <v>934</v>
      </c>
      <c r="AB23" s="197">
        <f t="shared" ca="1" si="37"/>
        <v>1525</v>
      </c>
    </row>
    <row r="24" spans="1:28" ht="20.100000000000001" customHeight="1">
      <c r="B24" s="606"/>
      <c r="C24" s="607"/>
      <c r="D24" s="607"/>
      <c r="E24" s="607"/>
      <c r="F24" s="608"/>
      <c r="G24" s="602"/>
      <c r="H24" s="189"/>
      <c r="I24" s="204" t="s">
        <v>33</v>
      </c>
      <c r="J24" s="199">
        <f t="shared" ref="J24" si="56">J112+J139</f>
        <v>50</v>
      </c>
      <c r="K24" s="199">
        <f t="shared" ref="K24:U24" si="57">K112+K139+K157</f>
        <v>125</v>
      </c>
      <c r="L24" s="199">
        <f t="shared" si="57"/>
        <v>225</v>
      </c>
      <c r="M24" s="199">
        <f t="shared" si="57"/>
        <v>160</v>
      </c>
      <c r="N24" s="199">
        <f t="shared" si="57"/>
        <v>200</v>
      </c>
      <c r="O24" s="199">
        <f t="shared" si="57"/>
        <v>75</v>
      </c>
      <c r="P24" s="199">
        <f t="shared" si="57"/>
        <v>112</v>
      </c>
      <c r="Q24" s="199">
        <f t="shared" si="57"/>
        <v>205</v>
      </c>
      <c r="R24" s="199">
        <f t="shared" si="57"/>
        <v>0</v>
      </c>
      <c r="S24" s="199">
        <f t="shared" si="57"/>
        <v>150</v>
      </c>
      <c r="T24" s="199">
        <f t="shared" si="57"/>
        <v>200</v>
      </c>
      <c r="U24" s="199">
        <f t="shared" si="57"/>
        <v>0</v>
      </c>
      <c r="V24" s="195">
        <f t="shared" si="33"/>
        <v>1502</v>
      </c>
      <c r="W24" s="195">
        <f t="shared" ca="1" si="31"/>
        <v>1152</v>
      </c>
      <c r="Y24" s="199">
        <f t="shared" ca="1" si="34"/>
        <v>400</v>
      </c>
      <c r="Z24" s="199">
        <f t="shared" ca="1" si="35"/>
        <v>435</v>
      </c>
      <c r="AA24" s="199">
        <f t="shared" ca="1" si="36"/>
        <v>317</v>
      </c>
      <c r="AB24" s="199">
        <f t="shared" ca="1" si="37"/>
        <v>350</v>
      </c>
    </row>
    <row r="25" spans="1:28" ht="20.100000000000001" customHeight="1">
      <c r="B25" s="606"/>
      <c r="C25" s="607"/>
      <c r="D25" s="607"/>
      <c r="E25" s="607"/>
      <c r="F25" s="608"/>
      <c r="G25" s="602"/>
      <c r="H25" s="190"/>
      <c r="I25" s="205" t="s">
        <v>62</v>
      </c>
      <c r="J25" s="201">
        <f t="shared" ref="J25" si="58">J113+J140</f>
        <v>0</v>
      </c>
      <c r="K25" s="201">
        <f t="shared" ref="K25:U25" si="59">K113+K140+K158</f>
        <v>0</v>
      </c>
      <c r="L25" s="201">
        <f t="shared" si="59"/>
        <v>0</v>
      </c>
      <c r="M25" s="201">
        <f t="shared" si="59"/>
        <v>150</v>
      </c>
      <c r="N25" s="201">
        <f t="shared" si="59"/>
        <v>225</v>
      </c>
      <c r="O25" s="201">
        <f t="shared" si="59"/>
        <v>0</v>
      </c>
      <c r="P25" s="201">
        <f t="shared" si="59"/>
        <v>50</v>
      </c>
      <c r="Q25" s="201">
        <f t="shared" si="59"/>
        <v>0</v>
      </c>
      <c r="R25" s="201">
        <f t="shared" si="59"/>
        <v>0</v>
      </c>
      <c r="S25" s="201">
        <f t="shared" si="59"/>
        <v>0</v>
      </c>
      <c r="T25" s="201">
        <f t="shared" si="59"/>
        <v>0</v>
      </c>
      <c r="U25" s="201">
        <f t="shared" si="59"/>
        <v>0</v>
      </c>
      <c r="V25" s="196">
        <f t="shared" si="33"/>
        <v>425</v>
      </c>
      <c r="W25" s="196">
        <f t="shared" ca="1" si="31"/>
        <v>425</v>
      </c>
      <c r="Y25" s="201">
        <f t="shared" ca="1" si="34"/>
        <v>0</v>
      </c>
      <c r="Z25" s="201">
        <f t="shared" ca="1" si="35"/>
        <v>375</v>
      </c>
      <c r="AA25" s="201">
        <f t="shared" ca="1" si="36"/>
        <v>50</v>
      </c>
      <c r="AB25" s="201">
        <f t="shared" ca="1" si="37"/>
        <v>0</v>
      </c>
    </row>
    <row r="26" spans="1:28" ht="20.100000000000001" customHeight="1">
      <c r="B26" s="606"/>
      <c r="C26" s="607"/>
      <c r="D26" s="607"/>
      <c r="E26" s="607"/>
      <c r="F26" s="608"/>
      <c r="G26" s="602"/>
      <c r="H26" s="180"/>
      <c r="I26" s="223" t="s">
        <v>177</v>
      </c>
      <c r="J26" s="111">
        <f t="shared" ref="J26" si="60">SUM(J27:J29)</f>
        <v>370</v>
      </c>
      <c r="K26" s="111">
        <f t="shared" ref="K26" si="61">SUM(K27:K29)</f>
        <v>287.5</v>
      </c>
      <c r="L26" s="111">
        <f t="shared" ref="L26" si="62">SUM(L27:L29)</f>
        <v>687.5</v>
      </c>
      <c r="M26" s="111">
        <f t="shared" ref="M26" si="63">SUM(M27:M29)</f>
        <v>60</v>
      </c>
      <c r="N26" s="111">
        <f t="shared" ref="N26" si="64">SUM(N27:N29)</f>
        <v>412.5</v>
      </c>
      <c r="O26" s="111">
        <f t="shared" ref="O26" si="65">SUM(O27:O29)</f>
        <v>500</v>
      </c>
      <c r="P26" s="111">
        <f t="shared" ref="P26" si="66">SUM(P27:P29)</f>
        <v>125</v>
      </c>
      <c r="Q26" s="111">
        <f t="shared" ref="Q26" si="67">SUM(Q27:Q29)</f>
        <v>250</v>
      </c>
      <c r="R26" s="111">
        <f t="shared" ref="R26:S26" si="68">SUM(R27:R29)</f>
        <v>425</v>
      </c>
      <c r="S26" s="111">
        <f t="shared" si="68"/>
        <v>837.5</v>
      </c>
      <c r="T26" s="111">
        <f t="shared" ref="T26" si="69">SUM(T27:T29)</f>
        <v>704.5</v>
      </c>
      <c r="U26" s="111">
        <f t="shared" ref="U26" si="70">SUM(U27:U29)</f>
        <v>725</v>
      </c>
      <c r="V26" s="111">
        <f t="shared" si="33"/>
        <v>5384.5</v>
      </c>
      <c r="W26" s="111">
        <f t="shared" ca="1" si="31"/>
        <v>2692.5</v>
      </c>
      <c r="Y26" s="111">
        <f t="shared" ca="1" si="34"/>
        <v>1345</v>
      </c>
      <c r="Z26" s="111">
        <f t="shared" ca="1" si="35"/>
        <v>972.5</v>
      </c>
      <c r="AA26" s="111">
        <f t="shared" ca="1" si="36"/>
        <v>800</v>
      </c>
      <c r="AB26" s="111">
        <f t="shared" ca="1" si="37"/>
        <v>2267</v>
      </c>
    </row>
    <row r="27" spans="1:28" ht="20.100000000000001" customHeight="1">
      <c r="B27" s="606"/>
      <c r="C27" s="607"/>
      <c r="D27" s="607"/>
      <c r="E27" s="607"/>
      <c r="F27" s="608"/>
      <c r="G27" s="602"/>
      <c r="H27" s="188"/>
      <c r="I27" s="203" t="s">
        <v>44</v>
      </c>
      <c r="J27" s="197">
        <f t="shared" ref="J27" si="71">J115+J142</f>
        <v>320</v>
      </c>
      <c r="K27" s="197">
        <f>K115+K142+K160</f>
        <v>162.5</v>
      </c>
      <c r="L27" s="197">
        <f t="shared" ref="L27:U27" si="72">L115+L142+L160</f>
        <v>462.5</v>
      </c>
      <c r="M27" s="197">
        <f t="shared" si="72"/>
        <v>0</v>
      </c>
      <c r="N27" s="197">
        <f t="shared" si="72"/>
        <v>137.5</v>
      </c>
      <c r="O27" s="197">
        <f t="shared" si="72"/>
        <v>175</v>
      </c>
      <c r="P27" s="197">
        <f t="shared" si="72"/>
        <v>125</v>
      </c>
      <c r="Q27" s="197">
        <f t="shared" si="72"/>
        <v>200</v>
      </c>
      <c r="R27" s="197">
        <f t="shared" si="72"/>
        <v>150</v>
      </c>
      <c r="S27" s="197">
        <f>S115+S142+S160</f>
        <v>575</v>
      </c>
      <c r="T27" s="197">
        <f t="shared" si="72"/>
        <v>425</v>
      </c>
      <c r="U27" s="197">
        <f t="shared" si="72"/>
        <v>725</v>
      </c>
      <c r="V27" s="194">
        <f t="shared" si="33"/>
        <v>3457.5</v>
      </c>
      <c r="W27" s="194">
        <f t="shared" ca="1" si="31"/>
        <v>1582.5</v>
      </c>
      <c r="Y27" s="197">
        <f t="shared" ca="1" si="34"/>
        <v>945</v>
      </c>
      <c r="Z27" s="197">
        <f t="shared" ca="1" si="35"/>
        <v>312.5</v>
      </c>
      <c r="AA27" s="197">
        <f t="shared" ca="1" si="36"/>
        <v>475</v>
      </c>
      <c r="AB27" s="197">
        <f t="shared" ca="1" si="37"/>
        <v>1725</v>
      </c>
    </row>
    <row r="28" spans="1:28" ht="20.100000000000001" customHeight="1">
      <c r="B28" s="606"/>
      <c r="C28" s="607"/>
      <c r="D28" s="607"/>
      <c r="E28" s="607"/>
      <c r="F28" s="608"/>
      <c r="G28" s="602"/>
      <c r="H28" s="189"/>
      <c r="I28" s="204" t="s">
        <v>33</v>
      </c>
      <c r="J28" s="199">
        <f t="shared" ref="J28" si="73">J116+J143</f>
        <v>50</v>
      </c>
      <c r="K28" s="199">
        <f t="shared" ref="K28:U28" si="74">K116+K143+K161</f>
        <v>125</v>
      </c>
      <c r="L28" s="199">
        <f t="shared" si="74"/>
        <v>225</v>
      </c>
      <c r="M28" s="199">
        <f t="shared" si="74"/>
        <v>60</v>
      </c>
      <c r="N28" s="199">
        <f t="shared" si="74"/>
        <v>125</v>
      </c>
      <c r="O28" s="199">
        <f t="shared" si="74"/>
        <v>275</v>
      </c>
      <c r="P28" s="199">
        <f t="shared" si="74"/>
        <v>0</v>
      </c>
      <c r="Q28" s="199">
        <f t="shared" si="74"/>
        <v>50</v>
      </c>
      <c r="R28" s="199">
        <f t="shared" si="74"/>
        <v>50</v>
      </c>
      <c r="S28" s="199">
        <f>S116+S143+S161</f>
        <v>262.5</v>
      </c>
      <c r="T28" s="199">
        <f t="shared" si="74"/>
        <v>279.5</v>
      </c>
      <c r="U28" s="199">
        <f t="shared" si="74"/>
        <v>0</v>
      </c>
      <c r="V28" s="195">
        <f t="shared" si="33"/>
        <v>1502</v>
      </c>
      <c r="W28" s="195">
        <f t="shared" ca="1" si="31"/>
        <v>910</v>
      </c>
      <c r="Y28" s="199">
        <f t="shared" ca="1" si="34"/>
        <v>400</v>
      </c>
      <c r="Z28" s="199">
        <f t="shared" ca="1" si="35"/>
        <v>460</v>
      </c>
      <c r="AA28" s="199">
        <f t="shared" ca="1" si="36"/>
        <v>100</v>
      </c>
      <c r="AB28" s="199">
        <f t="shared" ca="1" si="37"/>
        <v>542</v>
      </c>
    </row>
    <row r="29" spans="1:28" ht="20.100000000000001" customHeight="1">
      <c r="B29" s="609"/>
      <c r="C29" s="610"/>
      <c r="D29" s="610"/>
      <c r="E29" s="610"/>
      <c r="F29" s="611"/>
      <c r="G29" s="602"/>
      <c r="H29" s="190"/>
      <c r="I29" s="205" t="s">
        <v>62</v>
      </c>
      <c r="J29" s="201">
        <f t="shared" ref="J29" si="75">J117+J144</f>
        <v>0</v>
      </c>
      <c r="K29" s="201">
        <f t="shared" ref="K29:U29" si="76">K117+K144+K162</f>
        <v>0</v>
      </c>
      <c r="L29" s="201">
        <f t="shared" si="76"/>
        <v>0</v>
      </c>
      <c r="M29" s="201">
        <f t="shared" si="76"/>
        <v>0</v>
      </c>
      <c r="N29" s="201">
        <f t="shared" si="76"/>
        <v>150</v>
      </c>
      <c r="O29" s="201">
        <f t="shared" si="76"/>
        <v>50</v>
      </c>
      <c r="P29" s="201">
        <f t="shared" si="76"/>
        <v>0</v>
      </c>
      <c r="Q29" s="201">
        <f t="shared" si="76"/>
        <v>0</v>
      </c>
      <c r="R29" s="201">
        <f t="shared" si="76"/>
        <v>225</v>
      </c>
      <c r="S29" s="201">
        <f t="shared" si="76"/>
        <v>0</v>
      </c>
      <c r="T29" s="201">
        <f t="shared" si="76"/>
        <v>0</v>
      </c>
      <c r="U29" s="201">
        <f t="shared" si="76"/>
        <v>0</v>
      </c>
      <c r="V29" s="196">
        <f t="shared" si="33"/>
        <v>425</v>
      </c>
      <c r="W29" s="196">
        <f t="shared" ca="1" si="31"/>
        <v>200</v>
      </c>
      <c r="Y29" s="201">
        <f t="shared" ca="1" si="34"/>
        <v>0</v>
      </c>
      <c r="Z29" s="201">
        <f t="shared" ca="1" si="35"/>
        <v>200</v>
      </c>
      <c r="AA29" s="201">
        <f t="shared" ca="1" si="36"/>
        <v>225</v>
      </c>
      <c r="AB29" s="201">
        <f t="shared" ca="1" si="37"/>
        <v>0</v>
      </c>
    </row>
    <row r="30" spans="1:28" ht="15" customHeight="1"/>
    <row r="31" spans="1:28" ht="43.5" customHeight="1">
      <c r="B31" s="220" t="s">
        <v>179</v>
      </c>
      <c r="C31" s="220" t="s">
        <v>180</v>
      </c>
      <c r="D31" s="220" t="s">
        <v>4</v>
      </c>
      <c r="E31" s="220" t="s">
        <v>181</v>
      </c>
      <c r="F31" s="220" t="s">
        <v>182</v>
      </c>
      <c r="G31" s="220" t="s">
        <v>183</v>
      </c>
      <c r="H31" s="220" t="s">
        <v>181</v>
      </c>
      <c r="I31" s="209" t="s">
        <v>184</v>
      </c>
      <c r="J31" s="210">
        <v>45748</v>
      </c>
      <c r="K31" s="210">
        <v>45778</v>
      </c>
      <c r="L31" s="210">
        <v>45809</v>
      </c>
      <c r="M31" s="210">
        <v>45839</v>
      </c>
      <c r="N31" s="210">
        <v>45870</v>
      </c>
      <c r="O31" s="210">
        <v>45901</v>
      </c>
      <c r="P31" s="210">
        <v>45931</v>
      </c>
      <c r="Q31" s="210">
        <v>45962</v>
      </c>
      <c r="R31" s="210">
        <v>45992</v>
      </c>
      <c r="S31" s="210">
        <v>46023</v>
      </c>
      <c r="T31" s="210">
        <v>46054</v>
      </c>
      <c r="U31" s="210">
        <v>46082</v>
      </c>
      <c r="V31" s="210" t="s">
        <v>168</v>
      </c>
      <c r="W31" s="210" t="str">
        <f>+W17</f>
        <v>Cumm till 30-Nov-25</v>
      </c>
      <c r="Y31" s="210" t="s">
        <v>170</v>
      </c>
      <c r="Z31" s="210" t="s">
        <v>171</v>
      </c>
      <c r="AA31" s="210" t="s">
        <v>172</v>
      </c>
      <c r="AB31" s="210" t="s">
        <v>173</v>
      </c>
    </row>
    <row r="32" spans="1:28" s="171" customFormat="1" ht="18" customHeight="1">
      <c r="B32" s="191" t="s">
        <v>185</v>
      </c>
      <c r="C32" s="112"/>
      <c r="D32" s="112"/>
      <c r="E32" s="112"/>
      <c r="F32" s="112"/>
      <c r="G32" s="112"/>
      <c r="H32" s="112"/>
      <c r="I32" s="211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3"/>
      <c r="W32" s="193"/>
      <c r="Y32" s="218"/>
      <c r="Z32" s="218"/>
      <c r="AA32" s="218"/>
      <c r="AB32" s="218"/>
    </row>
    <row r="33" spans="2:28" ht="18" customHeight="1">
      <c r="B33" s="582">
        <v>1</v>
      </c>
      <c r="C33" s="585" t="s">
        <v>30</v>
      </c>
      <c r="D33" s="585" t="s">
        <v>31</v>
      </c>
      <c r="E33" s="582" t="s">
        <v>33</v>
      </c>
      <c r="F33" s="582" t="s">
        <v>32</v>
      </c>
      <c r="G33" s="582">
        <v>250</v>
      </c>
      <c r="H33" s="206" t="s">
        <v>33</v>
      </c>
      <c r="I33" s="206" t="s">
        <v>175</v>
      </c>
      <c r="J33" s="197">
        <f>'KH Solar Plan'!AF4</f>
        <v>150</v>
      </c>
      <c r="K33" s="197">
        <f>'KH Solar Plan'!AG4</f>
        <v>100</v>
      </c>
      <c r="L33" s="198">
        <f>'KH Solar Plan'!AH4</f>
        <v>0</v>
      </c>
      <c r="M33" s="197">
        <f>'KH Solar Plan'!AI4</f>
        <v>0</v>
      </c>
      <c r="N33" s="197">
        <f>'KH Solar Plan'!AJ4</f>
        <v>0</v>
      </c>
      <c r="O33" s="197">
        <f>'KH Solar Plan'!AK4</f>
        <v>0</v>
      </c>
      <c r="P33" s="197">
        <f>'KH Solar Plan'!AL4</f>
        <v>0</v>
      </c>
      <c r="Q33" s="197">
        <f>'KH Solar Plan'!AM4</f>
        <v>0</v>
      </c>
      <c r="R33" s="197">
        <f>'KH Solar Plan'!AN4</f>
        <v>0</v>
      </c>
      <c r="S33" s="197">
        <f>'KH Solar Plan'!AO4</f>
        <v>0</v>
      </c>
      <c r="T33" s="197">
        <f>'KH Solar Plan'!AP4</f>
        <v>0</v>
      </c>
      <c r="U33" s="197">
        <f>'KH Solar Plan'!AQ4</f>
        <v>0</v>
      </c>
      <c r="V33" s="194">
        <f t="shared" ref="V33:V101" si="77">SUM(J33:U33)</f>
        <v>250</v>
      </c>
      <c r="W33" s="194">
        <f t="shared" ref="W33:W64" ca="1" si="78">SUM(OFFSET(J33,0,0,1,$A$1))</f>
        <v>250</v>
      </c>
      <c r="Y33" s="197">
        <f t="shared" ref="Y33:Y101" ca="1" si="79">SUM(OFFSET($J33,0,0,1,$A$2))</f>
        <v>250</v>
      </c>
      <c r="Z33" s="197">
        <f t="shared" ref="Z33:Z101" ca="1" si="80">SUM(OFFSET($M33,0,0,1,$A$2))</f>
        <v>0</v>
      </c>
      <c r="AA33" s="197">
        <f t="shared" ref="AA33:AA101" ca="1" si="81">SUM(OFFSET($P33,0,0,1,$A$2))</f>
        <v>0</v>
      </c>
      <c r="AB33" s="197">
        <f t="shared" ref="AB33:AB101" ca="1" si="82">SUM(OFFSET($S33,0,0,1,$A$2))</f>
        <v>0</v>
      </c>
    </row>
    <row r="34" spans="2:28" ht="18" customHeight="1">
      <c r="B34" s="583"/>
      <c r="C34" s="586"/>
      <c r="D34" s="588"/>
      <c r="E34" s="590"/>
      <c r="F34" s="590"/>
      <c r="G34" s="590"/>
      <c r="H34" s="207" t="s">
        <v>33</v>
      </c>
      <c r="I34" s="207" t="s">
        <v>176</v>
      </c>
      <c r="J34" s="199">
        <f>'KH Solar Rephase'!AE4</f>
        <v>0</v>
      </c>
      <c r="K34" s="199">
        <f>'KH Solar Rephase'!AF4</f>
        <v>75</v>
      </c>
      <c r="L34" s="200">
        <f>'KH Solar Rephase'!AG4</f>
        <v>50</v>
      </c>
      <c r="M34" s="199">
        <f>'KH Solar Rephase'!AH4</f>
        <v>50</v>
      </c>
      <c r="N34" s="199">
        <f>'KH Solar Rephase'!AI4</f>
        <v>75</v>
      </c>
      <c r="O34" s="199">
        <f>'KH Solar Rephase'!AJ4</f>
        <v>0</v>
      </c>
      <c r="P34" s="199">
        <f>'KH Solar Rephase'!AK4</f>
        <v>0</v>
      </c>
      <c r="Q34" s="199">
        <f>'KH Solar Rephase'!AL4</f>
        <v>0</v>
      </c>
      <c r="R34" s="199">
        <f>'KH Solar Rephase'!AM4</f>
        <v>0</v>
      </c>
      <c r="S34" s="199">
        <f>'KH Solar Rephase'!AN4</f>
        <v>0</v>
      </c>
      <c r="T34" s="199">
        <f>'KH Solar Rephase'!AO4</f>
        <v>0</v>
      </c>
      <c r="U34" s="199">
        <f>'KH Solar Rephase'!AP4</f>
        <v>0</v>
      </c>
      <c r="V34" s="195">
        <f t="shared" si="77"/>
        <v>250</v>
      </c>
      <c r="W34" s="195">
        <f t="shared" ca="1" si="78"/>
        <v>250</v>
      </c>
      <c r="Y34" s="199">
        <f t="shared" ca="1" si="79"/>
        <v>125</v>
      </c>
      <c r="Z34" s="199">
        <f t="shared" ca="1" si="80"/>
        <v>125</v>
      </c>
      <c r="AA34" s="199">
        <f t="shared" ca="1" si="81"/>
        <v>0</v>
      </c>
      <c r="AB34" s="199">
        <f t="shared" ca="1" si="82"/>
        <v>0</v>
      </c>
    </row>
    <row r="35" spans="2:28" ht="18" customHeight="1">
      <c r="B35" s="584"/>
      <c r="C35" s="587"/>
      <c r="D35" s="589"/>
      <c r="E35" s="591"/>
      <c r="F35" s="591"/>
      <c r="G35" s="591"/>
      <c r="H35" s="207" t="s">
        <v>33</v>
      </c>
      <c r="I35" s="207" t="s">
        <v>177</v>
      </c>
      <c r="J35" s="199">
        <f>'KH Solar Actual'!O5</f>
        <v>0</v>
      </c>
      <c r="K35" s="199">
        <f>'KH Solar Actual'!P5</f>
        <v>75</v>
      </c>
      <c r="L35" s="200">
        <f>'KH Solar Actual'!Q5</f>
        <v>50</v>
      </c>
      <c r="M35" s="199">
        <f>'KH Solar Actual'!R5</f>
        <v>0</v>
      </c>
      <c r="N35" s="199">
        <f>'KH Solar Actual'!S5</f>
        <v>125</v>
      </c>
      <c r="O35" s="199">
        <f>'KH Solar Actual'!T5</f>
        <v>0</v>
      </c>
      <c r="P35" s="199">
        <f>'KH Solar Actual'!U5</f>
        <v>0</v>
      </c>
      <c r="Q35" s="199">
        <f>'KH Solar Actual'!V5</f>
        <v>0</v>
      </c>
      <c r="R35" s="199">
        <f>'KH Solar Actual'!W5</f>
        <v>0</v>
      </c>
      <c r="S35" s="199">
        <f>'KH Solar Actual'!X5</f>
        <v>0</v>
      </c>
      <c r="T35" s="199">
        <f>'KH Solar Actual'!Y5</f>
        <v>0</v>
      </c>
      <c r="U35" s="199">
        <f>'KH Solar Actual'!Z5</f>
        <v>0</v>
      </c>
      <c r="V35" s="195">
        <f t="shared" si="77"/>
        <v>250</v>
      </c>
      <c r="W35" s="195">
        <f t="shared" ca="1" si="78"/>
        <v>250</v>
      </c>
      <c r="Y35" s="199">
        <f t="shared" ca="1" si="79"/>
        <v>125</v>
      </c>
      <c r="Z35" s="199">
        <f t="shared" ca="1" si="80"/>
        <v>125</v>
      </c>
      <c r="AA35" s="199">
        <f t="shared" ca="1" si="81"/>
        <v>0</v>
      </c>
      <c r="AB35" s="199">
        <f t="shared" ca="1" si="82"/>
        <v>0</v>
      </c>
    </row>
    <row r="36" spans="2:28" ht="18" customHeight="1">
      <c r="B36" s="582">
        <v>2</v>
      </c>
      <c r="C36" s="585" t="s">
        <v>30</v>
      </c>
      <c r="D36" s="585" t="s">
        <v>31</v>
      </c>
      <c r="E36" s="582" t="s">
        <v>33</v>
      </c>
      <c r="F36" s="582" t="s">
        <v>38</v>
      </c>
      <c r="G36" s="582">
        <v>50</v>
      </c>
      <c r="H36" s="206" t="s">
        <v>33</v>
      </c>
      <c r="I36" s="206" t="s">
        <v>175</v>
      </c>
      <c r="J36" s="197">
        <f>'KH Solar Plan'!AF5</f>
        <v>50</v>
      </c>
      <c r="K36" s="197">
        <f>'KH Solar Plan'!AG5</f>
        <v>0</v>
      </c>
      <c r="L36" s="198">
        <f>'KH Solar Plan'!AH5</f>
        <v>0</v>
      </c>
      <c r="M36" s="197">
        <f>'KH Solar Plan'!AI5</f>
        <v>0</v>
      </c>
      <c r="N36" s="197">
        <f>'KH Solar Plan'!AJ5</f>
        <v>0</v>
      </c>
      <c r="O36" s="197">
        <f>'KH Solar Plan'!AK5</f>
        <v>0</v>
      </c>
      <c r="P36" s="197">
        <f>'KH Solar Plan'!AL5</f>
        <v>0</v>
      </c>
      <c r="Q36" s="197">
        <f>'KH Solar Plan'!AM5</f>
        <v>0</v>
      </c>
      <c r="R36" s="197">
        <f>'KH Solar Plan'!AN5</f>
        <v>0</v>
      </c>
      <c r="S36" s="197">
        <f>'KH Solar Plan'!AO5</f>
        <v>0</v>
      </c>
      <c r="T36" s="197">
        <f>'KH Solar Plan'!AP5</f>
        <v>0</v>
      </c>
      <c r="U36" s="197">
        <f>'KH Solar Plan'!AQ5</f>
        <v>0</v>
      </c>
      <c r="V36" s="194">
        <f t="shared" si="77"/>
        <v>50</v>
      </c>
      <c r="W36" s="194">
        <f t="shared" ca="1" si="78"/>
        <v>50</v>
      </c>
      <c r="Y36" s="197">
        <f t="shared" ca="1" si="79"/>
        <v>50</v>
      </c>
      <c r="Z36" s="197">
        <f t="shared" ca="1" si="80"/>
        <v>0</v>
      </c>
      <c r="AA36" s="197">
        <f t="shared" ca="1" si="81"/>
        <v>0</v>
      </c>
      <c r="AB36" s="197">
        <f t="shared" ca="1" si="82"/>
        <v>0</v>
      </c>
    </row>
    <row r="37" spans="2:28" ht="18" customHeight="1">
      <c r="B37" s="583">
        <v>2</v>
      </c>
      <c r="C37" s="586" t="s">
        <v>30</v>
      </c>
      <c r="D37" s="588" t="s">
        <v>31</v>
      </c>
      <c r="E37" s="590" t="s">
        <v>33</v>
      </c>
      <c r="F37" s="590" t="s">
        <v>38</v>
      </c>
      <c r="G37" s="590"/>
      <c r="H37" s="207" t="s">
        <v>33</v>
      </c>
      <c r="I37" s="207" t="s">
        <v>176</v>
      </c>
      <c r="J37" s="199">
        <f>'KH Solar Rephase'!AE5</f>
        <v>0</v>
      </c>
      <c r="K37" s="199">
        <f>'KH Solar Rephase'!AF5</f>
        <v>50</v>
      </c>
      <c r="L37" s="200">
        <f>'KH Solar Rephase'!AG5</f>
        <v>0</v>
      </c>
      <c r="M37" s="199">
        <f>'KH Solar Rephase'!AH5</f>
        <v>0</v>
      </c>
      <c r="N37" s="199">
        <f>'KH Solar Rephase'!AI5</f>
        <v>0</v>
      </c>
      <c r="O37" s="199">
        <f>'KH Solar Rephase'!AJ5</f>
        <v>0</v>
      </c>
      <c r="P37" s="199">
        <f>'KH Solar Rephase'!AK5</f>
        <v>0</v>
      </c>
      <c r="Q37" s="199">
        <f>'KH Solar Rephase'!AL5</f>
        <v>0</v>
      </c>
      <c r="R37" s="199">
        <f>'KH Solar Rephase'!AM5</f>
        <v>0</v>
      </c>
      <c r="S37" s="199">
        <f>'KH Solar Rephase'!AN5</f>
        <v>0</v>
      </c>
      <c r="T37" s="199">
        <f>'KH Solar Rephase'!AO5</f>
        <v>0</v>
      </c>
      <c r="U37" s="199">
        <f>'KH Solar Rephase'!AP5</f>
        <v>0</v>
      </c>
      <c r="V37" s="195">
        <f t="shared" si="77"/>
        <v>50</v>
      </c>
      <c r="W37" s="195">
        <f t="shared" ca="1" si="78"/>
        <v>50</v>
      </c>
      <c r="Y37" s="199">
        <f t="shared" ca="1" si="79"/>
        <v>50</v>
      </c>
      <c r="Z37" s="199">
        <f t="shared" ca="1" si="80"/>
        <v>0</v>
      </c>
      <c r="AA37" s="199">
        <f t="shared" ca="1" si="81"/>
        <v>0</v>
      </c>
      <c r="AB37" s="199">
        <f t="shared" ca="1" si="82"/>
        <v>0</v>
      </c>
    </row>
    <row r="38" spans="2:28" ht="18" customHeight="1">
      <c r="B38" s="584">
        <v>2</v>
      </c>
      <c r="C38" s="587" t="s">
        <v>30</v>
      </c>
      <c r="D38" s="589" t="s">
        <v>31</v>
      </c>
      <c r="E38" s="591" t="s">
        <v>33</v>
      </c>
      <c r="F38" s="591" t="s">
        <v>38</v>
      </c>
      <c r="G38" s="591"/>
      <c r="H38" s="207" t="s">
        <v>33</v>
      </c>
      <c r="I38" s="207" t="s">
        <v>177</v>
      </c>
      <c r="J38" s="199">
        <f>'KH Solar Actual'!O6</f>
        <v>0</v>
      </c>
      <c r="K38" s="199">
        <f>'KH Solar Actual'!P6</f>
        <v>50</v>
      </c>
      <c r="L38" s="200">
        <f>'KH Solar Actual'!Q6</f>
        <v>0</v>
      </c>
      <c r="M38" s="199">
        <f>'KH Solar Actual'!R6</f>
        <v>0</v>
      </c>
      <c r="N38" s="199">
        <f>'KH Solar Actual'!S6</f>
        <v>0</v>
      </c>
      <c r="O38" s="199">
        <f>'KH Solar Actual'!T6</f>
        <v>0</v>
      </c>
      <c r="P38" s="199">
        <f>'KH Solar Actual'!U6</f>
        <v>0</v>
      </c>
      <c r="Q38" s="199">
        <f>'KH Solar Actual'!V6</f>
        <v>0</v>
      </c>
      <c r="R38" s="199">
        <f>'KH Solar Actual'!W6</f>
        <v>0</v>
      </c>
      <c r="S38" s="199">
        <f>'KH Solar Actual'!X6</f>
        <v>0</v>
      </c>
      <c r="T38" s="199">
        <f>'KH Solar Actual'!Y6</f>
        <v>0</v>
      </c>
      <c r="U38" s="199">
        <f>'KH Solar Actual'!Z6</f>
        <v>0</v>
      </c>
      <c r="V38" s="195">
        <f t="shared" si="77"/>
        <v>50</v>
      </c>
      <c r="W38" s="195">
        <f t="shared" ca="1" si="78"/>
        <v>50</v>
      </c>
      <c r="Y38" s="199">
        <f t="shared" ca="1" si="79"/>
        <v>50</v>
      </c>
      <c r="Z38" s="199">
        <f t="shared" ca="1" si="80"/>
        <v>0</v>
      </c>
      <c r="AA38" s="199">
        <f t="shared" ca="1" si="81"/>
        <v>0</v>
      </c>
      <c r="AB38" s="199">
        <f t="shared" ca="1" si="82"/>
        <v>0</v>
      </c>
    </row>
    <row r="39" spans="2:28" ht="18" customHeight="1">
      <c r="B39" s="582">
        <v>3</v>
      </c>
      <c r="C39" s="585" t="s">
        <v>41</v>
      </c>
      <c r="D39" s="585" t="s">
        <v>42</v>
      </c>
      <c r="E39" s="582" t="s">
        <v>44</v>
      </c>
      <c r="F39" s="582" t="s">
        <v>43</v>
      </c>
      <c r="G39" s="582">
        <v>187.5</v>
      </c>
      <c r="H39" s="206" t="s">
        <v>44</v>
      </c>
      <c r="I39" s="206" t="s">
        <v>175</v>
      </c>
      <c r="J39" s="197">
        <f>'KH Solar Plan'!AF6</f>
        <v>187.5</v>
      </c>
      <c r="K39" s="197">
        <f>'KH Solar Plan'!AG6</f>
        <v>0</v>
      </c>
      <c r="L39" s="198">
        <f>'KH Solar Plan'!AH6</f>
        <v>0</v>
      </c>
      <c r="M39" s="197">
        <f>'KH Solar Plan'!AI6</f>
        <v>0</v>
      </c>
      <c r="N39" s="197">
        <f>'KH Solar Plan'!AJ6</f>
        <v>0</v>
      </c>
      <c r="O39" s="197">
        <f>'KH Solar Plan'!AK6</f>
        <v>0</v>
      </c>
      <c r="P39" s="197">
        <f>'KH Solar Plan'!AL6</f>
        <v>0</v>
      </c>
      <c r="Q39" s="197">
        <f>'KH Solar Plan'!AM6</f>
        <v>0</v>
      </c>
      <c r="R39" s="197">
        <f>'KH Solar Plan'!AN6</f>
        <v>0</v>
      </c>
      <c r="S39" s="197">
        <f>'KH Solar Plan'!AO6</f>
        <v>0</v>
      </c>
      <c r="T39" s="197">
        <f>'KH Solar Plan'!AP6</f>
        <v>0</v>
      </c>
      <c r="U39" s="197">
        <f>'KH Solar Plan'!AQ6</f>
        <v>0</v>
      </c>
      <c r="V39" s="194">
        <f t="shared" si="77"/>
        <v>187.5</v>
      </c>
      <c r="W39" s="194">
        <f t="shared" ca="1" si="78"/>
        <v>187.5</v>
      </c>
      <c r="Y39" s="197">
        <f t="shared" ca="1" si="79"/>
        <v>187.5</v>
      </c>
      <c r="Z39" s="197">
        <f t="shared" ca="1" si="80"/>
        <v>0</v>
      </c>
      <c r="AA39" s="197">
        <f t="shared" ca="1" si="81"/>
        <v>0</v>
      </c>
      <c r="AB39" s="197">
        <f t="shared" ca="1" si="82"/>
        <v>0</v>
      </c>
    </row>
    <row r="40" spans="2:28" ht="18" customHeight="1">
      <c r="B40" s="583">
        <v>3</v>
      </c>
      <c r="C40" s="586" t="s">
        <v>41</v>
      </c>
      <c r="D40" s="588" t="s">
        <v>42</v>
      </c>
      <c r="E40" s="590" t="s">
        <v>44</v>
      </c>
      <c r="F40" s="590" t="s">
        <v>43</v>
      </c>
      <c r="G40" s="590"/>
      <c r="H40" s="207" t="s">
        <v>44</v>
      </c>
      <c r="I40" s="207" t="s">
        <v>176</v>
      </c>
      <c r="J40" s="199">
        <f>'KH Solar Rephase'!AE6</f>
        <v>75</v>
      </c>
      <c r="K40" s="199">
        <f>'KH Solar Rephase'!AF6</f>
        <v>112.5</v>
      </c>
      <c r="L40" s="200">
        <f>'KH Solar Rephase'!AG6</f>
        <v>0</v>
      </c>
      <c r="M40" s="199">
        <f>'KH Solar Rephase'!AH6</f>
        <v>0</v>
      </c>
      <c r="N40" s="199">
        <f>'KH Solar Rephase'!AI6</f>
        <v>0</v>
      </c>
      <c r="O40" s="199">
        <f>'KH Solar Rephase'!AJ6</f>
        <v>0</v>
      </c>
      <c r="P40" s="199">
        <f>'KH Solar Rephase'!AK6</f>
        <v>0</v>
      </c>
      <c r="Q40" s="199">
        <f>'KH Solar Rephase'!AL6</f>
        <v>0</v>
      </c>
      <c r="R40" s="199">
        <f>'KH Solar Rephase'!AM6</f>
        <v>0</v>
      </c>
      <c r="S40" s="199">
        <f>'KH Solar Rephase'!AN6</f>
        <v>0</v>
      </c>
      <c r="T40" s="199">
        <f>'KH Solar Rephase'!AO6</f>
        <v>0</v>
      </c>
      <c r="U40" s="199">
        <f>'KH Solar Rephase'!AP6</f>
        <v>0</v>
      </c>
      <c r="V40" s="195">
        <f t="shared" si="77"/>
        <v>187.5</v>
      </c>
      <c r="W40" s="195">
        <f t="shared" ca="1" si="78"/>
        <v>187.5</v>
      </c>
      <c r="Y40" s="199">
        <f t="shared" ca="1" si="79"/>
        <v>187.5</v>
      </c>
      <c r="Z40" s="199">
        <f t="shared" ca="1" si="80"/>
        <v>0</v>
      </c>
      <c r="AA40" s="199">
        <f t="shared" ca="1" si="81"/>
        <v>0</v>
      </c>
      <c r="AB40" s="199">
        <f t="shared" ca="1" si="82"/>
        <v>0</v>
      </c>
    </row>
    <row r="41" spans="2:28" ht="18" customHeight="1">
      <c r="B41" s="584">
        <v>3</v>
      </c>
      <c r="C41" s="587" t="s">
        <v>41</v>
      </c>
      <c r="D41" s="589" t="s">
        <v>42</v>
      </c>
      <c r="E41" s="591" t="s">
        <v>44</v>
      </c>
      <c r="F41" s="591" t="s">
        <v>43</v>
      </c>
      <c r="G41" s="591"/>
      <c r="H41" s="207" t="s">
        <v>44</v>
      </c>
      <c r="I41" s="207" t="s">
        <v>177</v>
      </c>
      <c r="J41" s="199">
        <f>'KH Solar Actual'!O7</f>
        <v>75</v>
      </c>
      <c r="K41" s="199">
        <f>'KH Solar Actual'!P7</f>
        <v>112.5</v>
      </c>
      <c r="L41" s="200">
        <f>'KH Solar Actual'!Q7</f>
        <v>0</v>
      </c>
      <c r="M41" s="199">
        <f>'KH Solar Actual'!R7</f>
        <v>0</v>
      </c>
      <c r="N41" s="199">
        <f>'KH Solar Actual'!S7</f>
        <v>0</v>
      </c>
      <c r="O41" s="199">
        <f>'KH Solar Actual'!T7</f>
        <v>0</v>
      </c>
      <c r="P41" s="199">
        <f>'KH Solar Actual'!U7</f>
        <v>0</v>
      </c>
      <c r="Q41" s="199">
        <f>'KH Solar Actual'!V7</f>
        <v>0</v>
      </c>
      <c r="R41" s="199">
        <f>'KH Solar Actual'!W7</f>
        <v>0</v>
      </c>
      <c r="S41" s="199">
        <f>'KH Solar Actual'!X7</f>
        <v>0</v>
      </c>
      <c r="T41" s="199">
        <f>'KH Solar Actual'!Y7</f>
        <v>0</v>
      </c>
      <c r="U41" s="199">
        <f>'KH Solar Actual'!Z7</f>
        <v>0</v>
      </c>
      <c r="V41" s="195">
        <f t="shared" si="77"/>
        <v>187.5</v>
      </c>
      <c r="W41" s="195">
        <f t="shared" ca="1" si="78"/>
        <v>187.5</v>
      </c>
      <c r="Y41" s="199">
        <f t="shared" ca="1" si="79"/>
        <v>187.5</v>
      </c>
      <c r="Z41" s="199">
        <f t="shared" ca="1" si="80"/>
        <v>0</v>
      </c>
      <c r="AA41" s="199">
        <f t="shared" ca="1" si="81"/>
        <v>0</v>
      </c>
      <c r="AB41" s="199">
        <f t="shared" ca="1" si="82"/>
        <v>0</v>
      </c>
    </row>
    <row r="42" spans="2:28" ht="18" customHeight="1">
      <c r="B42" s="582">
        <v>4</v>
      </c>
      <c r="C42" s="585" t="s">
        <v>41</v>
      </c>
      <c r="D42" s="585" t="s">
        <v>42</v>
      </c>
      <c r="E42" s="582" t="s">
        <v>44</v>
      </c>
      <c r="F42" s="582" t="s">
        <v>47</v>
      </c>
      <c r="G42" s="582">
        <v>350</v>
      </c>
      <c r="H42" s="206" t="s">
        <v>44</v>
      </c>
      <c r="I42" s="206" t="s">
        <v>175</v>
      </c>
      <c r="J42" s="197">
        <f>'KH Solar Plan'!AF7</f>
        <v>0</v>
      </c>
      <c r="K42" s="197">
        <f>'KH Solar Plan'!AG7</f>
        <v>0</v>
      </c>
      <c r="L42" s="198">
        <f>'KH Solar Plan'!AH7</f>
        <v>100</v>
      </c>
      <c r="M42" s="197">
        <f>'KH Solar Plan'!AI7</f>
        <v>250</v>
      </c>
      <c r="N42" s="197">
        <f>'KH Solar Plan'!AJ7</f>
        <v>0</v>
      </c>
      <c r="O42" s="197">
        <f>'KH Solar Plan'!AK7</f>
        <v>0</v>
      </c>
      <c r="P42" s="197">
        <f>'KH Solar Plan'!AL7</f>
        <v>0</v>
      </c>
      <c r="Q42" s="197">
        <f>'KH Solar Plan'!AM7</f>
        <v>0</v>
      </c>
      <c r="R42" s="197">
        <f>'KH Solar Plan'!AN7</f>
        <v>0</v>
      </c>
      <c r="S42" s="197">
        <f>'KH Solar Plan'!AO7</f>
        <v>0</v>
      </c>
      <c r="T42" s="197">
        <f>'KH Solar Plan'!AP7</f>
        <v>0</v>
      </c>
      <c r="U42" s="197">
        <f>'KH Solar Plan'!AQ7</f>
        <v>0</v>
      </c>
      <c r="V42" s="194">
        <f t="shared" si="77"/>
        <v>350</v>
      </c>
      <c r="W42" s="194">
        <f t="shared" ca="1" si="78"/>
        <v>350</v>
      </c>
      <c r="Y42" s="197">
        <f t="shared" ca="1" si="79"/>
        <v>100</v>
      </c>
      <c r="Z42" s="197">
        <f t="shared" ca="1" si="80"/>
        <v>250</v>
      </c>
      <c r="AA42" s="197">
        <f t="shared" ca="1" si="81"/>
        <v>0</v>
      </c>
      <c r="AB42" s="197">
        <f t="shared" ca="1" si="82"/>
        <v>0</v>
      </c>
    </row>
    <row r="43" spans="2:28" ht="18" customHeight="1">
      <c r="B43" s="583">
        <v>4</v>
      </c>
      <c r="C43" s="586" t="s">
        <v>41</v>
      </c>
      <c r="D43" s="588" t="s">
        <v>42</v>
      </c>
      <c r="E43" s="590" t="s">
        <v>44</v>
      </c>
      <c r="F43" s="590" t="s">
        <v>47</v>
      </c>
      <c r="G43" s="590"/>
      <c r="H43" s="207" t="s">
        <v>44</v>
      </c>
      <c r="I43" s="207" t="s">
        <v>176</v>
      </c>
      <c r="J43" s="199">
        <f>'KH Solar Rephase'!AE7</f>
        <v>0</v>
      </c>
      <c r="K43" s="199">
        <f>'KH Solar Rephase'!AF7</f>
        <v>50</v>
      </c>
      <c r="L43" s="200">
        <f>'KH Solar Rephase'!AG7</f>
        <v>175</v>
      </c>
      <c r="M43" s="199">
        <f>'KH Solar Rephase'!AH7</f>
        <v>0</v>
      </c>
      <c r="N43" s="199">
        <f>'KH Solar Rephase'!AI7</f>
        <v>75</v>
      </c>
      <c r="O43" s="199">
        <f>'KH Solar Rephase'!AJ7</f>
        <v>50</v>
      </c>
      <c r="P43" s="199">
        <f>'KH Solar Rephase'!AK7</f>
        <v>0</v>
      </c>
      <c r="Q43" s="199">
        <f>'KH Solar Rephase'!AL7</f>
        <v>0</v>
      </c>
      <c r="R43" s="199">
        <f>'KH Solar Rephase'!AM7</f>
        <v>0</v>
      </c>
      <c r="S43" s="199">
        <f>'KH Solar Rephase'!AN7</f>
        <v>0</v>
      </c>
      <c r="T43" s="199">
        <f>'KH Solar Rephase'!AO7</f>
        <v>0</v>
      </c>
      <c r="U43" s="199">
        <f>'KH Solar Rephase'!AP7</f>
        <v>0</v>
      </c>
      <c r="V43" s="195">
        <f t="shared" si="77"/>
        <v>350</v>
      </c>
      <c r="W43" s="195">
        <f t="shared" ca="1" si="78"/>
        <v>350</v>
      </c>
      <c r="Y43" s="199">
        <f t="shared" ca="1" si="79"/>
        <v>225</v>
      </c>
      <c r="Z43" s="199">
        <f t="shared" ca="1" si="80"/>
        <v>125</v>
      </c>
      <c r="AA43" s="199">
        <f t="shared" ca="1" si="81"/>
        <v>0</v>
      </c>
      <c r="AB43" s="199">
        <f t="shared" ca="1" si="82"/>
        <v>0</v>
      </c>
    </row>
    <row r="44" spans="2:28" ht="18" customHeight="1">
      <c r="B44" s="584">
        <v>4</v>
      </c>
      <c r="C44" s="587" t="s">
        <v>41</v>
      </c>
      <c r="D44" s="589" t="s">
        <v>42</v>
      </c>
      <c r="E44" s="591" t="s">
        <v>44</v>
      </c>
      <c r="F44" s="591" t="s">
        <v>47</v>
      </c>
      <c r="G44" s="591"/>
      <c r="H44" s="207" t="s">
        <v>44</v>
      </c>
      <c r="I44" s="207" t="s">
        <v>177</v>
      </c>
      <c r="J44" s="199">
        <f>'KH Solar Actual'!O8</f>
        <v>0</v>
      </c>
      <c r="K44" s="199">
        <f>'KH Solar Actual'!P8</f>
        <v>50</v>
      </c>
      <c r="L44" s="200">
        <f>'KH Solar Actual'!Q8</f>
        <v>175</v>
      </c>
      <c r="M44" s="199">
        <f>'KH Solar Actual'!R8</f>
        <v>0</v>
      </c>
      <c r="N44" s="199">
        <f>'KH Solar Actual'!S8</f>
        <v>0</v>
      </c>
      <c r="O44" s="199">
        <f>'KH Solar Actual'!T8</f>
        <v>0</v>
      </c>
      <c r="P44" s="199">
        <f>'KH Solar Actual'!U8</f>
        <v>0</v>
      </c>
      <c r="Q44" s="199">
        <f>'KH Solar Actual'!V8</f>
        <v>125</v>
      </c>
      <c r="R44" s="199">
        <f>'KH Solar Actual'!W8</f>
        <v>0</v>
      </c>
      <c r="S44" s="199">
        <f>'KH Solar Actual'!X8</f>
        <v>0</v>
      </c>
      <c r="T44" s="199">
        <f>'KH Solar Actual'!Y8</f>
        <v>0</v>
      </c>
      <c r="U44" s="199">
        <f>'KH Solar Actual'!Z8</f>
        <v>0</v>
      </c>
      <c r="V44" s="195">
        <f t="shared" si="77"/>
        <v>350</v>
      </c>
      <c r="W44" s="195">
        <f t="shared" ca="1" si="78"/>
        <v>350</v>
      </c>
      <c r="Y44" s="199">
        <f t="shared" ca="1" si="79"/>
        <v>225</v>
      </c>
      <c r="Z44" s="199">
        <f t="shared" ca="1" si="80"/>
        <v>0</v>
      </c>
      <c r="AA44" s="199">
        <f t="shared" ca="1" si="81"/>
        <v>125</v>
      </c>
      <c r="AB44" s="199">
        <f t="shared" ca="1" si="82"/>
        <v>0</v>
      </c>
    </row>
    <row r="45" spans="2:28" ht="18" customHeight="1">
      <c r="B45" s="582">
        <v>5</v>
      </c>
      <c r="C45" s="585" t="s">
        <v>49</v>
      </c>
      <c r="D45" s="585" t="s">
        <v>50</v>
      </c>
      <c r="E45" s="582" t="s">
        <v>44</v>
      </c>
      <c r="F45" s="582" t="s">
        <v>51</v>
      </c>
      <c r="G45" s="582">
        <v>570</v>
      </c>
      <c r="H45" s="206" t="s">
        <v>44</v>
      </c>
      <c r="I45" s="206" t="s">
        <v>175</v>
      </c>
      <c r="J45" s="197">
        <f>'KH Solar Plan'!AF8</f>
        <v>295</v>
      </c>
      <c r="K45" s="197">
        <f>'KH Solar Plan'!AG8</f>
        <v>0</v>
      </c>
      <c r="L45" s="198">
        <f>'KH Solar Plan'!AH8</f>
        <v>275</v>
      </c>
      <c r="M45" s="197">
        <f>'KH Solar Plan'!AI8</f>
        <v>0</v>
      </c>
      <c r="N45" s="197">
        <f>'KH Solar Plan'!AJ8</f>
        <v>0</v>
      </c>
      <c r="O45" s="197">
        <f>'KH Solar Plan'!AK8</f>
        <v>0</v>
      </c>
      <c r="P45" s="197">
        <f>'KH Solar Plan'!AL8</f>
        <v>0</v>
      </c>
      <c r="Q45" s="197">
        <f>'KH Solar Plan'!AM8</f>
        <v>0</v>
      </c>
      <c r="R45" s="197">
        <f>'KH Solar Plan'!AN8</f>
        <v>0</v>
      </c>
      <c r="S45" s="197">
        <f>'KH Solar Plan'!AO8</f>
        <v>0</v>
      </c>
      <c r="T45" s="197">
        <f>'KH Solar Plan'!AP8</f>
        <v>0</v>
      </c>
      <c r="U45" s="197">
        <f>'KH Solar Plan'!AQ8</f>
        <v>0</v>
      </c>
      <c r="V45" s="194">
        <f t="shared" si="77"/>
        <v>570</v>
      </c>
      <c r="W45" s="194">
        <f t="shared" ca="1" si="78"/>
        <v>570</v>
      </c>
      <c r="Y45" s="197">
        <f t="shared" ca="1" si="79"/>
        <v>570</v>
      </c>
      <c r="Z45" s="197">
        <f t="shared" ca="1" si="80"/>
        <v>0</v>
      </c>
      <c r="AA45" s="197">
        <f t="shared" ca="1" si="81"/>
        <v>0</v>
      </c>
      <c r="AB45" s="197">
        <f t="shared" ca="1" si="82"/>
        <v>0</v>
      </c>
    </row>
    <row r="46" spans="2:28" ht="18" customHeight="1">
      <c r="B46" s="583">
        <v>5</v>
      </c>
      <c r="C46" s="586" t="s">
        <v>49</v>
      </c>
      <c r="D46" s="588" t="s">
        <v>50</v>
      </c>
      <c r="E46" s="590" t="s">
        <v>44</v>
      </c>
      <c r="F46" s="590" t="s">
        <v>51</v>
      </c>
      <c r="G46" s="590"/>
      <c r="H46" s="207" t="s">
        <v>44</v>
      </c>
      <c r="I46" s="207" t="s">
        <v>176</v>
      </c>
      <c r="J46" s="199">
        <f>'KH Solar Rephase'!AE8</f>
        <v>145</v>
      </c>
      <c r="K46" s="199">
        <f>'KH Solar Rephase'!AF8</f>
        <v>0</v>
      </c>
      <c r="L46" s="200">
        <f>'KH Solar Rephase'!AG8</f>
        <v>150</v>
      </c>
      <c r="M46" s="199">
        <f>'KH Solar Rephase'!AH8</f>
        <v>75</v>
      </c>
      <c r="N46" s="199">
        <f>'KH Solar Rephase'!AI8</f>
        <v>0</v>
      </c>
      <c r="O46" s="199">
        <f>'KH Solar Rephase'!AJ8</f>
        <v>50</v>
      </c>
      <c r="P46" s="199">
        <f>'KH Solar Rephase'!AK8</f>
        <v>50</v>
      </c>
      <c r="Q46" s="199">
        <f>'KH Solar Rephase'!AL8</f>
        <v>100</v>
      </c>
      <c r="R46" s="199">
        <f>'KH Solar Rephase'!AM8</f>
        <v>0</v>
      </c>
      <c r="S46" s="199">
        <f>'KH Solar Rephase'!AN8</f>
        <v>0</v>
      </c>
      <c r="T46" s="199">
        <f>'KH Solar Rephase'!AO8</f>
        <v>0</v>
      </c>
      <c r="U46" s="199">
        <f>'KH Solar Rephase'!AP8</f>
        <v>0</v>
      </c>
      <c r="V46" s="195">
        <f t="shared" si="77"/>
        <v>570</v>
      </c>
      <c r="W46" s="195">
        <f t="shared" ca="1" si="78"/>
        <v>570</v>
      </c>
      <c r="Y46" s="199">
        <f t="shared" ca="1" si="79"/>
        <v>295</v>
      </c>
      <c r="Z46" s="199">
        <f t="shared" ca="1" si="80"/>
        <v>125</v>
      </c>
      <c r="AA46" s="199">
        <f t="shared" ca="1" si="81"/>
        <v>150</v>
      </c>
      <c r="AB46" s="199">
        <f t="shared" ca="1" si="82"/>
        <v>0</v>
      </c>
    </row>
    <row r="47" spans="2:28" ht="18" customHeight="1">
      <c r="B47" s="584">
        <v>5</v>
      </c>
      <c r="C47" s="587" t="s">
        <v>49</v>
      </c>
      <c r="D47" s="589" t="s">
        <v>50</v>
      </c>
      <c r="E47" s="591" t="s">
        <v>44</v>
      </c>
      <c r="F47" s="591" t="s">
        <v>51</v>
      </c>
      <c r="G47" s="591"/>
      <c r="H47" s="207" t="s">
        <v>44</v>
      </c>
      <c r="I47" s="207" t="s">
        <v>177</v>
      </c>
      <c r="J47" s="199">
        <f>'KH Solar Actual'!O9</f>
        <v>145</v>
      </c>
      <c r="K47" s="199">
        <f>'KH Solar Actual'!P9</f>
        <v>0</v>
      </c>
      <c r="L47" s="200">
        <f>'KH Solar Actual'!Q9</f>
        <v>150</v>
      </c>
      <c r="M47" s="199">
        <f>'KH Solar Actual'!R9</f>
        <v>0</v>
      </c>
      <c r="N47" s="199">
        <f>'KH Solar Actual'!S9</f>
        <v>50</v>
      </c>
      <c r="O47" s="199">
        <f>'KH Solar Actual'!T9</f>
        <v>75</v>
      </c>
      <c r="P47" s="199">
        <f>'KH Solar Actual'!U9</f>
        <v>75</v>
      </c>
      <c r="Q47" s="199">
        <f>'KH Solar Actual'!V9</f>
        <v>0</v>
      </c>
      <c r="R47" s="199">
        <f>'KH Solar Actual'!W9</f>
        <v>75</v>
      </c>
      <c r="S47" s="199">
        <f>'KH Solar Actual'!X9</f>
        <v>0</v>
      </c>
      <c r="T47" s="199">
        <f>'KH Solar Actual'!Y9</f>
        <v>0</v>
      </c>
      <c r="U47" s="199">
        <f>'KH Solar Actual'!Z9</f>
        <v>0</v>
      </c>
      <c r="V47" s="195">
        <f t="shared" si="77"/>
        <v>570</v>
      </c>
      <c r="W47" s="195">
        <f t="shared" ca="1" si="78"/>
        <v>495</v>
      </c>
      <c r="Y47" s="199">
        <f t="shared" ca="1" si="79"/>
        <v>295</v>
      </c>
      <c r="Z47" s="199">
        <f t="shared" ca="1" si="80"/>
        <v>125</v>
      </c>
      <c r="AA47" s="199">
        <f t="shared" ca="1" si="81"/>
        <v>150</v>
      </c>
      <c r="AB47" s="199">
        <f t="shared" ca="1" si="82"/>
        <v>0</v>
      </c>
    </row>
    <row r="48" spans="2:28" ht="18" customHeight="1">
      <c r="B48" s="582">
        <v>6</v>
      </c>
      <c r="C48" s="585" t="s">
        <v>30</v>
      </c>
      <c r="D48" s="585" t="s">
        <v>55</v>
      </c>
      <c r="E48" s="582" t="s">
        <v>33</v>
      </c>
      <c r="F48" s="582" t="s">
        <v>56</v>
      </c>
      <c r="G48" s="582">
        <v>250</v>
      </c>
      <c r="H48" s="206" t="s">
        <v>33</v>
      </c>
      <c r="I48" s="206" t="s">
        <v>175</v>
      </c>
      <c r="J48" s="197">
        <f>'KH Solar Plan'!AF9</f>
        <v>150</v>
      </c>
      <c r="K48" s="197">
        <f>'KH Solar Plan'!AG9</f>
        <v>100</v>
      </c>
      <c r="L48" s="198">
        <f>'KH Solar Plan'!AH9</f>
        <v>0</v>
      </c>
      <c r="M48" s="197">
        <f>'KH Solar Plan'!AI9</f>
        <v>0</v>
      </c>
      <c r="N48" s="197">
        <f>'KH Solar Plan'!AJ9</f>
        <v>0</v>
      </c>
      <c r="O48" s="197">
        <f>'KH Solar Plan'!AK9</f>
        <v>0</v>
      </c>
      <c r="P48" s="197">
        <f>'KH Solar Plan'!AL9</f>
        <v>0</v>
      </c>
      <c r="Q48" s="197">
        <f>'KH Solar Plan'!AM9</f>
        <v>0</v>
      </c>
      <c r="R48" s="197">
        <f>'KH Solar Plan'!AN9</f>
        <v>0</v>
      </c>
      <c r="S48" s="197">
        <f>'KH Solar Plan'!AO9</f>
        <v>0</v>
      </c>
      <c r="T48" s="197">
        <f>'KH Solar Plan'!AP9</f>
        <v>0</v>
      </c>
      <c r="U48" s="197">
        <f>'KH Solar Plan'!AQ9</f>
        <v>0</v>
      </c>
      <c r="V48" s="194">
        <f t="shared" si="77"/>
        <v>250</v>
      </c>
      <c r="W48" s="194">
        <f t="shared" ca="1" si="78"/>
        <v>250</v>
      </c>
      <c r="Y48" s="197">
        <f t="shared" ca="1" si="79"/>
        <v>250</v>
      </c>
      <c r="Z48" s="197">
        <f t="shared" ca="1" si="80"/>
        <v>0</v>
      </c>
      <c r="AA48" s="197">
        <f t="shared" ca="1" si="81"/>
        <v>0</v>
      </c>
      <c r="AB48" s="197">
        <f t="shared" ca="1" si="82"/>
        <v>0</v>
      </c>
    </row>
    <row r="49" spans="2:28" ht="18" customHeight="1">
      <c r="B49" s="583">
        <v>6</v>
      </c>
      <c r="C49" s="586" t="s">
        <v>30</v>
      </c>
      <c r="D49" s="588" t="s">
        <v>55</v>
      </c>
      <c r="E49" s="590" t="s">
        <v>33</v>
      </c>
      <c r="F49" s="590" t="s">
        <v>56</v>
      </c>
      <c r="G49" s="590"/>
      <c r="H49" s="207" t="s">
        <v>33</v>
      </c>
      <c r="I49" s="207" t="s">
        <v>176</v>
      </c>
      <c r="J49" s="199">
        <f>'KH Solar Rephase'!AE9</f>
        <v>50</v>
      </c>
      <c r="K49" s="199">
        <f>'KH Solar Rephase'!AF9</f>
        <v>0</v>
      </c>
      <c r="L49" s="200">
        <f>'KH Solar Rephase'!AG9</f>
        <v>125</v>
      </c>
      <c r="M49" s="199">
        <f>'KH Solar Rephase'!AH9</f>
        <v>0</v>
      </c>
      <c r="N49" s="199">
        <f>'KH Solar Rephase'!AI9</f>
        <v>75</v>
      </c>
      <c r="O49" s="199">
        <f>'KH Solar Rephase'!AJ9</f>
        <v>0</v>
      </c>
      <c r="P49" s="199">
        <f>'KH Solar Rephase'!AK9</f>
        <v>0</v>
      </c>
      <c r="Q49" s="199">
        <f>'KH Solar Rephase'!AL9</f>
        <v>0</v>
      </c>
      <c r="R49" s="199">
        <f>'KH Solar Rephase'!AM9</f>
        <v>0</v>
      </c>
      <c r="S49" s="199">
        <f>'KH Solar Rephase'!AN9</f>
        <v>0</v>
      </c>
      <c r="T49" s="199">
        <f>'KH Solar Rephase'!AO9</f>
        <v>0</v>
      </c>
      <c r="U49" s="199">
        <f>'KH Solar Rephase'!AP9</f>
        <v>0</v>
      </c>
      <c r="V49" s="195">
        <f t="shared" si="77"/>
        <v>250</v>
      </c>
      <c r="W49" s="195">
        <f t="shared" ca="1" si="78"/>
        <v>250</v>
      </c>
      <c r="Y49" s="199">
        <f t="shared" ca="1" si="79"/>
        <v>175</v>
      </c>
      <c r="Z49" s="199">
        <f t="shared" ca="1" si="80"/>
        <v>75</v>
      </c>
      <c r="AA49" s="199">
        <f t="shared" ca="1" si="81"/>
        <v>0</v>
      </c>
      <c r="AB49" s="199">
        <f t="shared" ca="1" si="82"/>
        <v>0</v>
      </c>
    </row>
    <row r="50" spans="2:28" ht="18" customHeight="1">
      <c r="B50" s="584">
        <v>6</v>
      </c>
      <c r="C50" s="587" t="s">
        <v>30</v>
      </c>
      <c r="D50" s="589" t="s">
        <v>55</v>
      </c>
      <c r="E50" s="591" t="s">
        <v>33</v>
      </c>
      <c r="F50" s="591" t="s">
        <v>56</v>
      </c>
      <c r="G50" s="591"/>
      <c r="H50" s="207" t="s">
        <v>33</v>
      </c>
      <c r="I50" s="207" t="s">
        <v>177</v>
      </c>
      <c r="J50" s="199">
        <f>'KH Solar Actual'!O10</f>
        <v>50</v>
      </c>
      <c r="K50" s="199">
        <f>'KH Solar Actual'!P10</f>
        <v>0</v>
      </c>
      <c r="L50" s="200">
        <f>'KH Solar Actual'!Q10</f>
        <v>125</v>
      </c>
      <c r="M50" s="199">
        <f>'KH Solar Actual'!R10</f>
        <v>0</v>
      </c>
      <c r="N50" s="199">
        <f>'KH Solar Actual'!S10</f>
        <v>0</v>
      </c>
      <c r="O50" s="199">
        <f>'KH Solar Actual'!T10</f>
        <v>75</v>
      </c>
      <c r="P50" s="199">
        <f>'KH Solar Actual'!U10</f>
        <v>0</v>
      </c>
      <c r="Q50" s="199">
        <f>'KH Solar Actual'!V10</f>
        <v>0</v>
      </c>
      <c r="R50" s="199">
        <f>'KH Solar Actual'!W10</f>
        <v>0</v>
      </c>
      <c r="S50" s="199">
        <f>'KH Solar Actual'!X10</f>
        <v>0</v>
      </c>
      <c r="T50" s="199">
        <f>'KH Solar Actual'!Y10</f>
        <v>0</v>
      </c>
      <c r="U50" s="199">
        <f>'KH Solar Actual'!Z10</f>
        <v>0</v>
      </c>
      <c r="V50" s="195">
        <f t="shared" si="77"/>
        <v>250</v>
      </c>
      <c r="W50" s="195">
        <f t="shared" ca="1" si="78"/>
        <v>250</v>
      </c>
      <c r="Y50" s="199">
        <f t="shared" ca="1" si="79"/>
        <v>175</v>
      </c>
      <c r="Z50" s="199">
        <f t="shared" ca="1" si="80"/>
        <v>75</v>
      </c>
      <c r="AA50" s="199">
        <f t="shared" ca="1" si="81"/>
        <v>0</v>
      </c>
      <c r="AB50" s="199">
        <f t="shared" ca="1" si="82"/>
        <v>0</v>
      </c>
    </row>
    <row r="51" spans="2:28" ht="18" customHeight="1">
      <c r="B51" s="582">
        <v>7</v>
      </c>
      <c r="C51" s="585" t="s">
        <v>57</v>
      </c>
      <c r="D51" s="585" t="s">
        <v>31</v>
      </c>
      <c r="E51" s="582" t="s">
        <v>44</v>
      </c>
      <c r="F51" s="582" t="s">
        <v>58</v>
      </c>
      <c r="G51" s="582">
        <v>500</v>
      </c>
      <c r="H51" s="206" t="s">
        <v>44</v>
      </c>
      <c r="I51" s="206" t="s">
        <v>175</v>
      </c>
      <c r="J51" s="197">
        <f>'KH Solar Plan'!AF10</f>
        <v>100</v>
      </c>
      <c r="K51" s="197">
        <f>'KH Solar Plan'!AG10</f>
        <v>0</v>
      </c>
      <c r="L51" s="198">
        <f>'KH Solar Plan'!AH10</f>
        <v>100</v>
      </c>
      <c r="M51" s="197">
        <f>'KH Solar Plan'!AI10</f>
        <v>300</v>
      </c>
      <c r="N51" s="197">
        <f>'KH Solar Plan'!AJ10</f>
        <v>0</v>
      </c>
      <c r="O51" s="197">
        <f>'KH Solar Plan'!AK10</f>
        <v>0</v>
      </c>
      <c r="P51" s="197">
        <f>'KH Solar Plan'!AL10</f>
        <v>0</v>
      </c>
      <c r="Q51" s="197">
        <f>'KH Solar Plan'!AM10</f>
        <v>0</v>
      </c>
      <c r="R51" s="197">
        <f>'KH Solar Plan'!AN10</f>
        <v>0</v>
      </c>
      <c r="S51" s="197">
        <f>'KH Solar Plan'!AO10</f>
        <v>0</v>
      </c>
      <c r="T51" s="197">
        <f>'KH Solar Plan'!AP10</f>
        <v>0</v>
      </c>
      <c r="U51" s="197">
        <f>'KH Solar Plan'!AQ10</f>
        <v>0</v>
      </c>
      <c r="V51" s="194">
        <f t="shared" si="77"/>
        <v>500</v>
      </c>
      <c r="W51" s="194">
        <f t="shared" ca="1" si="78"/>
        <v>500</v>
      </c>
      <c r="Y51" s="197">
        <f t="shared" ca="1" si="79"/>
        <v>200</v>
      </c>
      <c r="Z51" s="197">
        <f t="shared" ca="1" si="80"/>
        <v>300</v>
      </c>
      <c r="AA51" s="197">
        <f t="shared" ca="1" si="81"/>
        <v>0</v>
      </c>
      <c r="AB51" s="197">
        <f t="shared" ca="1" si="82"/>
        <v>0</v>
      </c>
    </row>
    <row r="52" spans="2:28" ht="18" customHeight="1">
      <c r="B52" s="583">
        <v>7</v>
      </c>
      <c r="C52" s="586" t="s">
        <v>57</v>
      </c>
      <c r="D52" s="588" t="s">
        <v>31</v>
      </c>
      <c r="E52" s="590" t="s">
        <v>44</v>
      </c>
      <c r="F52" s="590" t="s">
        <v>58</v>
      </c>
      <c r="G52" s="590"/>
      <c r="H52" s="207" t="s">
        <v>44</v>
      </c>
      <c r="I52" s="207" t="s">
        <v>176</v>
      </c>
      <c r="J52" s="199">
        <f>'KH Solar Rephase'!AE10</f>
        <v>100</v>
      </c>
      <c r="K52" s="199">
        <f>'KH Solar Rephase'!AF10</f>
        <v>0</v>
      </c>
      <c r="L52" s="200">
        <f>'KH Solar Rephase'!AG10</f>
        <v>137.5</v>
      </c>
      <c r="M52" s="199">
        <f>'KH Solar Rephase'!AH10</f>
        <v>112.5</v>
      </c>
      <c r="N52" s="199">
        <f>'KH Solar Rephase'!AI10</f>
        <v>0</v>
      </c>
      <c r="O52" s="199">
        <f>'KH Solar Rephase'!AJ10</f>
        <v>50</v>
      </c>
      <c r="P52" s="199">
        <f>'KH Solar Rephase'!AK10</f>
        <v>50</v>
      </c>
      <c r="Q52" s="199">
        <f>'KH Solar Rephase'!AL10</f>
        <v>50</v>
      </c>
      <c r="R52" s="199">
        <f>'KH Solar Rephase'!AM10</f>
        <v>0</v>
      </c>
      <c r="S52" s="199">
        <f>'KH Solar Rephase'!AN10</f>
        <v>0</v>
      </c>
      <c r="T52" s="199">
        <f>'KH Solar Rephase'!AO10</f>
        <v>0</v>
      </c>
      <c r="U52" s="199">
        <f>'KH Solar Rephase'!AP10</f>
        <v>0</v>
      </c>
      <c r="V52" s="195">
        <f t="shared" si="77"/>
        <v>500</v>
      </c>
      <c r="W52" s="195">
        <f t="shared" ca="1" si="78"/>
        <v>500</v>
      </c>
      <c r="Y52" s="199">
        <f t="shared" ca="1" si="79"/>
        <v>237.5</v>
      </c>
      <c r="Z52" s="199">
        <f t="shared" ca="1" si="80"/>
        <v>162.5</v>
      </c>
      <c r="AA52" s="199">
        <f t="shared" ca="1" si="81"/>
        <v>100</v>
      </c>
      <c r="AB52" s="199">
        <f t="shared" ca="1" si="82"/>
        <v>0</v>
      </c>
    </row>
    <row r="53" spans="2:28" ht="18" customHeight="1">
      <c r="B53" s="584">
        <v>7</v>
      </c>
      <c r="C53" s="587" t="s">
        <v>57</v>
      </c>
      <c r="D53" s="589" t="s">
        <v>31</v>
      </c>
      <c r="E53" s="591" t="s">
        <v>44</v>
      </c>
      <c r="F53" s="591" t="s">
        <v>58</v>
      </c>
      <c r="G53" s="591"/>
      <c r="H53" s="207" t="s">
        <v>44</v>
      </c>
      <c r="I53" s="207" t="s">
        <v>177</v>
      </c>
      <c r="J53" s="199">
        <f>'KH Solar Actual'!O11</f>
        <v>100</v>
      </c>
      <c r="K53" s="199">
        <f>'KH Solar Actual'!P11</f>
        <v>0</v>
      </c>
      <c r="L53" s="200">
        <f>'KH Solar Actual'!Q11</f>
        <v>137.5</v>
      </c>
      <c r="M53" s="199">
        <f>'KH Solar Actual'!R11</f>
        <v>0</v>
      </c>
      <c r="N53" s="199">
        <f>'KH Solar Actual'!S11</f>
        <v>87.5</v>
      </c>
      <c r="O53" s="199">
        <f>'KH Solar Actual'!T11</f>
        <v>100</v>
      </c>
      <c r="P53" s="199">
        <f>'KH Solar Actual'!U11</f>
        <v>0</v>
      </c>
      <c r="Q53" s="199">
        <f>'KH Solar Actual'!V11</f>
        <v>75</v>
      </c>
      <c r="R53" s="199">
        <f>'KH Solar Actual'!W11</f>
        <v>0</v>
      </c>
      <c r="S53" s="199">
        <f>'KH Solar Actual'!X11</f>
        <v>0</v>
      </c>
      <c r="T53" s="199">
        <f>'KH Solar Actual'!Y11</f>
        <v>0</v>
      </c>
      <c r="U53" s="199">
        <f>'KH Solar Actual'!Z11</f>
        <v>0</v>
      </c>
      <c r="V53" s="195">
        <f t="shared" si="77"/>
        <v>500</v>
      </c>
      <c r="W53" s="195">
        <f t="shared" ca="1" si="78"/>
        <v>500</v>
      </c>
      <c r="Y53" s="199">
        <f t="shared" ca="1" si="79"/>
        <v>237.5</v>
      </c>
      <c r="Z53" s="199">
        <f t="shared" ca="1" si="80"/>
        <v>187.5</v>
      </c>
      <c r="AA53" s="199">
        <f t="shared" ca="1" si="81"/>
        <v>75</v>
      </c>
      <c r="AB53" s="199">
        <f t="shared" ca="1" si="82"/>
        <v>0</v>
      </c>
    </row>
    <row r="54" spans="2:28" ht="18" customHeight="1">
      <c r="B54" s="582">
        <v>8</v>
      </c>
      <c r="C54" s="585" t="s">
        <v>69</v>
      </c>
      <c r="D54" s="585" t="s">
        <v>70</v>
      </c>
      <c r="E54" s="582" t="s">
        <v>33</v>
      </c>
      <c r="F54" s="582" t="s">
        <v>71</v>
      </c>
      <c r="G54" s="582">
        <v>25</v>
      </c>
      <c r="H54" s="206" t="s">
        <v>33</v>
      </c>
      <c r="I54" s="206" t="s">
        <v>175</v>
      </c>
      <c r="J54" s="197">
        <f>'KH Solar Plan'!AF23</f>
        <v>0</v>
      </c>
      <c r="K54" s="197">
        <f>'KH Solar Plan'!AG23</f>
        <v>0</v>
      </c>
      <c r="L54" s="198">
        <f>'KH Solar Plan'!AH23</f>
        <v>25</v>
      </c>
      <c r="M54" s="197">
        <f>'KH Solar Plan'!AI23</f>
        <v>0</v>
      </c>
      <c r="N54" s="197">
        <f>'KH Solar Plan'!AJ23</f>
        <v>0</v>
      </c>
      <c r="O54" s="197">
        <f>'KH Solar Plan'!AK23</f>
        <v>0</v>
      </c>
      <c r="P54" s="197">
        <f>'KH Solar Plan'!AL23</f>
        <v>0</v>
      </c>
      <c r="Q54" s="197">
        <f>'KH Solar Plan'!AM23</f>
        <v>0</v>
      </c>
      <c r="R54" s="197">
        <f>'KH Solar Plan'!AN23</f>
        <v>0</v>
      </c>
      <c r="S54" s="197">
        <f>'KH Solar Plan'!AO23</f>
        <v>0</v>
      </c>
      <c r="T54" s="197">
        <f>'KH Solar Plan'!AP23</f>
        <v>0</v>
      </c>
      <c r="U54" s="197">
        <f>'KH Solar Plan'!AQ23</f>
        <v>0</v>
      </c>
      <c r="V54" s="194">
        <f t="shared" si="77"/>
        <v>25</v>
      </c>
      <c r="W54" s="194">
        <f t="shared" ca="1" si="78"/>
        <v>25</v>
      </c>
      <c r="Y54" s="197">
        <f t="shared" ca="1" si="79"/>
        <v>25</v>
      </c>
      <c r="Z54" s="197">
        <f t="shared" ca="1" si="80"/>
        <v>0</v>
      </c>
      <c r="AA54" s="197">
        <f t="shared" ca="1" si="81"/>
        <v>0</v>
      </c>
      <c r="AB54" s="197">
        <f t="shared" ca="1" si="82"/>
        <v>0</v>
      </c>
    </row>
    <row r="55" spans="2:28" ht="18" customHeight="1">
      <c r="B55" s="583">
        <v>8</v>
      </c>
      <c r="C55" s="586" t="s">
        <v>69</v>
      </c>
      <c r="D55" s="588" t="s">
        <v>70</v>
      </c>
      <c r="E55" s="590" t="s">
        <v>33</v>
      </c>
      <c r="F55" s="590" t="s">
        <v>71</v>
      </c>
      <c r="G55" s="590"/>
      <c r="H55" s="207" t="s">
        <v>33</v>
      </c>
      <c r="I55" s="207" t="s">
        <v>176</v>
      </c>
      <c r="J55" s="199">
        <f>'KH Solar Rephase'!AE14</f>
        <v>0</v>
      </c>
      <c r="K55" s="199">
        <f>'KH Solar Rephase'!AF14</f>
        <v>0</v>
      </c>
      <c r="L55" s="200">
        <f>'KH Solar Rephase'!AG14</f>
        <v>0</v>
      </c>
      <c r="M55" s="199">
        <f>'KH Solar Rephase'!AH14</f>
        <v>25</v>
      </c>
      <c r="N55" s="199">
        <f>'KH Solar Rephase'!AI14</f>
        <v>0</v>
      </c>
      <c r="O55" s="199">
        <f>'KH Solar Rephase'!AJ14</f>
        <v>0</v>
      </c>
      <c r="P55" s="199">
        <f>'KH Solar Rephase'!AK14</f>
        <v>0</v>
      </c>
      <c r="Q55" s="199">
        <f>'KH Solar Rephase'!AL14</f>
        <v>0</v>
      </c>
      <c r="R55" s="199">
        <f>'KH Solar Rephase'!AM14</f>
        <v>0</v>
      </c>
      <c r="S55" s="199">
        <f>'KH Solar Rephase'!AN14</f>
        <v>0</v>
      </c>
      <c r="T55" s="199">
        <f>'KH Solar Rephase'!AO14</f>
        <v>0</v>
      </c>
      <c r="U55" s="199">
        <f>'KH Solar Rephase'!AP14</f>
        <v>0</v>
      </c>
      <c r="V55" s="195">
        <f t="shared" si="77"/>
        <v>25</v>
      </c>
      <c r="W55" s="195">
        <f t="shared" ca="1" si="78"/>
        <v>25</v>
      </c>
      <c r="Y55" s="199">
        <f t="shared" ca="1" si="79"/>
        <v>0</v>
      </c>
      <c r="Z55" s="199">
        <f t="shared" ca="1" si="80"/>
        <v>25</v>
      </c>
      <c r="AA55" s="199">
        <f t="shared" ca="1" si="81"/>
        <v>0</v>
      </c>
      <c r="AB55" s="199">
        <f t="shared" ca="1" si="82"/>
        <v>0</v>
      </c>
    </row>
    <row r="56" spans="2:28" ht="18" customHeight="1">
      <c r="B56" s="584">
        <v>8</v>
      </c>
      <c r="C56" s="587" t="s">
        <v>69</v>
      </c>
      <c r="D56" s="589" t="s">
        <v>70</v>
      </c>
      <c r="E56" s="591" t="s">
        <v>33</v>
      </c>
      <c r="F56" s="591" t="s">
        <v>71</v>
      </c>
      <c r="G56" s="591"/>
      <c r="H56" s="207" t="s">
        <v>33</v>
      </c>
      <c r="I56" s="207" t="s">
        <v>177</v>
      </c>
      <c r="J56" s="199">
        <f>'KH Solar Actual'!O12</f>
        <v>0</v>
      </c>
      <c r="K56" s="199">
        <f>'KH Solar Actual'!P12</f>
        <v>0</v>
      </c>
      <c r="L56" s="200">
        <f>'KH Solar Actual'!Q12</f>
        <v>0</v>
      </c>
      <c r="M56" s="199">
        <f>'KH Solar Actual'!R12</f>
        <v>25</v>
      </c>
      <c r="N56" s="199">
        <f>'KH Solar Actual'!S12</f>
        <v>0</v>
      </c>
      <c r="O56" s="199">
        <f>'KH Solar Actual'!T12</f>
        <v>0</v>
      </c>
      <c r="P56" s="199">
        <f>'KH Solar Actual'!U12</f>
        <v>0</v>
      </c>
      <c r="Q56" s="199">
        <f>'KH Solar Actual'!V12</f>
        <v>0</v>
      </c>
      <c r="R56" s="199">
        <f>'KH Solar Actual'!W12</f>
        <v>0</v>
      </c>
      <c r="S56" s="199">
        <f>'KH Solar Actual'!X12</f>
        <v>0</v>
      </c>
      <c r="T56" s="199">
        <f>'KH Solar Actual'!Y12</f>
        <v>0</v>
      </c>
      <c r="U56" s="199">
        <f>'KH Solar Actual'!Z12</f>
        <v>0</v>
      </c>
      <c r="V56" s="195">
        <f t="shared" si="77"/>
        <v>25</v>
      </c>
      <c r="W56" s="195">
        <f t="shared" ca="1" si="78"/>
        <v>25</v>
      </c>
      <c r="Y56" s="199">
        <f t="shared" ca="1" si="79"/>
        <v>0</v>
      </c>
      <c r="Z56" s="199">
        <f t="shared" ca="1" si="80"/>
        <v>25</v>
      </c>
      <c r="AA56" s="199">
        <f t="shared" ca="1" si="81"/>
        <v>0</v>
      </c>
      <c r="AB56" s="199">
        <f t="shared" ca="1" si="82"/>
        <v>0</v>
      </c>
    </row>
    <row r="57" spans="2:28" ht="18" customHeight="1">
      <c r="B57" s="582">
        <v>9</v>
      </c>
      <c r="C57" s="585" t="s">
        <v>30</v>
      </c>
      <c r="D57" s="585" t="s">
        <v>80</v>
      </c>
      <c r="E57" s="582" t="s">
        <v>33</v>
      </c>
      <c r="F57" s="582" t="s">
        <v>71</v>
      </c>
      <c r="G57" s="582">
        <v>35</v>
      </c>
      <c r="H57" s="206" t="s">
        <v>33</v>
      </c>
      <c r="I57" s="206" t="s">
        <v>175</v>
      </c>
      <c r="J57" s="197">
        <f>'KH Solar Plan'!AF24</f>
        <v>0</v>
      </c>
      <c r="K57" s="197">
        <f>'KH Solar Plan'!AG24</f>
        <v>0</v>
      </c>
      <c r="L57" s="198">
        <f>'KH Solar Plan'!AH24</f>
        <v>35</v>
      </c>
      <c r="M57" s="197">
        <f>'KH Solar Plan'!AI24</f>
        <v>0</v>
      </c>
      <c r="N57" s="197">
        <f>'KH Solar Plan'!AJ24</f>
        <v>0</v>
      </c>
      <c r="O57" s="197">
        <f>'KH Solar Plan'!AK24</f>
        <v>0</v>
      </c>
      <c r="P57" s="197">
        <f>'KH Solar Plan'!AL24</f>
        <v>0</v>
      </c>
      <c r="Q57" s="197">
        <f>'KH Solar Plan'!AM24</f>
        <v>0</v>
      </c>
      <c r="R57" s="197">
        <f>'KH Solar Plan'!AN24</f>
        <v>0</v>
      </c>
      <c r="S57" s="197">
        <f>'KH Solar Plan'!AO24</f>
        <v>0</v>
      </c>
      <c r="T57" s="197">
        <f>'KH Solar Plan'!AP24</f>
        <v>0</v>
      </c>
      <c r="U57" s="197">
        <f>'KH Solar Plan'!AQ24</f>
        <v>0</v>
      </c>
      <c r="V57" s="194">
        <f t="shared" si="77"/>
        <v>35</v>
      </c>
      <c r="W57" s="194">
        <f t="shared" ca="1" si="78"/>
        <v>35</v>
      </c>
      <c r="Y57" s="197">
        <f t="shared" ca="1" si="79"/>
        <v>35</v>
      </c>
      <c r="Z57" s="197">
        <f t="shared" ca="1" si="80"/>
        <v>0</v>
      </c>
      <c r="AA57" s="197">
        <f t="shared" ca="1" si="81"/>
        <v>0</v>
      </c>
      <c r="AB57" s="197">
        <f t="shared" ca="1" si="82"/>
        <v>0</v>
      </c>
    </row>
    <row r="58" spans="2:28" ht="18" customHeight="1">
      <c r="B58" s="583">
        <v>9</v>
      </c>
      <c r="C58" s="586" t="s">
        <v>30</v>
      </c>
      <c r="D58" s="588" t="s">
        <v>80</v>
      </c>
      <c r="E58" s="590" t="s">
        <v>33</v>
      </c>
      <c r="F58" s="590" t="s">
        <v>71</v>
      </c>
      <c r="G58" s="590"/>
      <c r="H58" s="207" t="s">
        <v>33</v>
      </c>
      <c r="I58" s="207" t="s">
        <v>176</v>
      </c>
      <c r="J58" s="199">
        <f>'KH Solar Rephase'!AE15</f>
        <v>0</v>
      </c>
      <c r="K58" s="199">
        <f>'KH Solar Rephase'!AF15</f>
        <v>0</v>
      </c>
      <c r="L58" s="200">
        <f>'KH Solar Rephase'!AG15</f>
        <v>0</v>
      </c>
      <c r="M58" s="199">
        <f>'KH Solar Rephase'!AH15</f>
        <v>35</v>
      </c>
      <c r="N58" s="199">
        <f>'KH Solar Rephase'!AI15</f>
        <v>0</v>
      </c>
      <c r="O58" s="199">
        <f>'KH Solar Rephase'!AJ15</f>
        <v>0</v>
      </c>
      <c r="P58" s="199">
        <f>'KH Solar Rephase'!AK15</f>
        <v>0</v>
      </c>
      <c r="Q58" s="199">
        <f>'KH Solar Rephase'!AL15</f>
        <v>0</v>
      </c>
      <c r="R58" s="199">
        <f>'KH Solar Rephase'!AM15</f>
        <v>0</v>
      </c>
      <c r="S58" s="199">
        <f>'KH Solar Rephase'!AN15</f>
        <v>0</v>
      </c>
      <c r="T58" s="199">
        <f>'KH Solar Rephase'!AO15</f>
        <v>0</v>
      </c>
      <c r="U58" s="199">
        <f>'KH Solar Rephase'!AP15</f>
        <v>0</v>
      </c>
      <c r="V58" s="195">
        <f t="shared" si="77"/>
        <v>35</v>
      </c>
      <c r="W58" s="195">
        <f t="shared" ca="1" si="78"/>
        <v>35</v>
      </c>
      <c r="Y58" s="199">
        <f t="shared" ca="1" si="79"/>
        <v>0</v>
      </c>
      <c r="Z58" s="199">
        <f t="shared" ca="1" si="80"/>
        <v>35</v>
      </c>
      <c r="AA58" s="199">
        <f t="shared" ca="1" si="81"/>
        <v>0</v>
      </c>
      <c r="AB58" s="199">
        <f t="shared" ca="1" si="82"/>
        <v>0</v>
      </c>
    </row>
    <row r="59" spans="2:28" ht="18" customHeight="1">
      <c r="B59" s="584">
        <v>9</v>
      </c>
      <c r="C59" s="587" t="s">
        <v>30</v>
      </c>
      <c r="D59" s="589" t="s">
        <v>80</v>
      </c>
      <c r="E59" s="591" t="s">
        <v>33</v>
      </c>
      <c r="F59" s="591" t="s">
        <v>71</v>
      </c>
      <c r="G59" s="591"/>
      <c r="H59" s="207" t="s">
        <v>33</v>
      </c>
      <c r="I59" s="207" t="s">
        <v>177</v>
      </c>
      <c r="J59" s="199">
        <f>'KH Solar Actual'!O13</f>
        <v>0</v>
      </c>
      <c r="K59" s="199">
        <f>'KH Solar Actual'!P13</f>
        <v>0</v>
      </c>
      <c r="L59" s="200">
        <f>'KH Solar Actual'!Q13</f>
        <v>0</v>
      </c>
      <c r="M59" s="199">
        <f>'KH Solar Actual'!R13</f>
        <v>35</v>
      </c>
      <c r="N59" s="199">
        <f>'KH Solar Actual'!S13</f>
        <v>0</v>
      </c>
      <c r="O59" s="199">
        <f>'KH Solar Actual'!T13</f>
        <v>0</v>
      </c>
      <c r="P59" s="199">
        <f>'KH Solar Actual'!U13</f>
        <v>0</v>
      </c>
      <c r="Q59" s="199">
        <f>'KH Solar Actual'!V13</f>
        <v>0</v>
      </c>
      <c r="R59" s="199">
        <f>'KH Solar Actual'!W13</f>
        <v>0</v>
      </c>
      <c r="S59" s="199">
        <f>'KH Solar Actual'!X13</f>
        <v>0</v>
      </c>
      <c r="T59" s="199">
        <f>'KH Solar Actual'!Y13</f>
        <v>0</v>
      </c>
      <c r="U59" s="199">
        <f>'KH Solar Actual'!Z13</f>
        <v>0</v>
      </c>
      <c r="V59" s="195">
        <f t="shared" si="77"/>
        <v>35</v>
      </c>
      <c r="W59" s="195">
        <f t="shared" ca="1" si="78"/>
        <v>35</v>
      </c>
      <c r="Y59" s="199">
        <f t="shared" ca="1" si="79"/>
        <v>0</v>
      </c>
      <c r="Z59" s="199">
        <f t="shared" ca="1" si="80"/>
        <v>35</v>
      </c>
      <c r="AA59" s="199">
        <f t="shared" ca="1" si="81"/>
        <v>0</v>
      </c>
      <c r="AB59" s="199">
        <f t="shared" ca="1" si="82"/>
        <v>0</v>
      </c>
    </row>
    <row r="60" spans="2:28" ht="18" customHeight="1">
      <c r="B60" s="582">
        <v>10</v>
      </c>
      <c r="C60" s="585" t="s">
        <v>84</v>
      </c>
      <c r="D60" s="585" t="s">
        <v>186</v>
      </c>
      <c r="E60" s="582" t="s">
        <v>33</v>
      </c>
      <c r="F60" s="582" t="s">
        <v>86</v>
      </c>
      <c r="G60" s="582">
        <v>100</v>
      </c>
      <c r="H60" s="206" t="s">
        <v>33</v>
      </c>
      <c r="I60" s="206" t="s">
        <v>175</v>
      </c>
      <c r="J60" s="197">
        <f>'KH Solar Plan'!AF25</f>
        <v>0</v>
      </c>
      <c r="K60" s="197">
        <f>'KH Solar Plan'!AG25</f>
        <v>0</v>
      </c>
      <c r="L60" s="198">
        <f>'KH Solar Plan'!AH25</f>
        <v>0</v>
      </c>
      <c r="M60" s="197">
        <f>'KH Solar Plan'!AI25</f>
        <v>0</v>
      </c>
      <c r="N60" s="197">
        <f>'KH Solar Plan'!AJ25</f>
        <v>0</v>
      </c>
      <c r="O60" s="197">
        <f>'KH Solar Plan'!AK25</f>
        <v>0</v>
      </c>
      <c r="P60" s="197">
        <f>'KH Solar Plan'!AL25</f>
        <v>0</v>
      </c>
      <c r="Q60" s="197">
        <f>'KH Solar Plan'!AM25</f>
        <v>0</v>
      </c>
      <c r="R60" s="197">
        <f>'KH Solar Plan'!AN25</f>
        <v>0</v>
      </c>
      <c r="S60" s="197">
        <f>'KH Solar Plan'!AO25</f>
        <v>100</v>
      </c>
      <c r="T60" s="197">
        <f>'KH Solar Plan'!AP25</f>
        <v>0</v>
      </c>
      <c r="U60" s="197">
        <f>'KH Solar Plan'!AQ25</f>
        <v>0</v>
      </c>
      <c r="V60" s="194">
        <f t="shared" si="77"/>
        <v>100</v>
      </c>
      <c r="W60" s="194">
        <f t="shared" ca="1" si="78"/>
        <v>0</v>
      </c>
      <c r="Y60" s="197">
        <f t="shared" ca="1" si="79"/>
        <v>0</v>
      </c>
      <c r="Z60" s="197">
        <f t="shared" ca="1" si="80"/>
        <v>0</v>
      </c>
      <c r="AA60" s="197">
        <f t="shared" ca="1" si="81"/>
        <v>0</v>
      </c>
      <c r="AB60" s="197">
        <f t="shared" ca="1" si="82"/>
        <v>100</v>
      </c>
    </row>
    <row r="61" spans="2:28" ht="18" customHeight="1">
      <c r="B61" s="583">
        <v>10</v>
      </c>
      <c r="C61" s="586" t="s">
        <v>84</v>
      </c>
      <c r="D61" s="588" t="s">
        <v>186</v>
      </c>
      <c r="E61" s="590" t="s">
        <v>33</v>
      </c>
      <c r="F61" s="590" t="s">
        <v>86</v>
      </c>
      <c r="G61" s="590"/>
      <c r="H61" s="207" t="s">
        <v>33</v>
      </c>
      <c r="I61" s="207" t="s">
        <v>176</v>
      </c>
      <c r="J61" s="199">
        <f>'KH Solar Rephase'!AE16</f>
        <v>0</v>
      </c>
      <c r="K61" s="199">
        <f>'KH Solar Rephase'!AF16</f>
        <v>0</v>
      </c>
      <c r="L61" s="200">
        <f>'KH Solar Rephase'!AG16</f>
        <v>0</v>
      </c>
      <c r="M61" s="199">
        <f>'KH Solar Rephase'!AH16</f>
        <v>0</v>
      </c>
      <c r="N61" s="199">
        <f>'KH Solar Rephase'!AI16</f>
        <v>50</v>
      </c>
      <c r="O61" s="199">
        <f>'KH Solar Rephase'!AJ16</f>
        <v>0</v>
      </c>
      <c r="P61" s="199">
        <f>'KH Solar Rephase'!AK16</f>
        <v>0</v>
      </c>
      <c r="Q61" s="199">
        <f>'KH Solar Rephase'!AL16</f>
        <v>50</v>
      </c>
      <c r="R61" s="199">
        <f>'KH Solar Rephase'!AM16</f>
        <v>0</v>
      </c>
      <c r="S61" s="199">
        <f>'KH Solar Rephase'!AN16</f>
        <v>0</v>
      </c>
      <c r="T61" s="199">
        <f>'KH Solar Rephase'!AO16</f>
        <v>0</v>
      </c>
      <c r="U61" s="199">
        <f>'KH Solar Rephase'!AP16</f>
        <v>0</v>
      </c>
      <c r="V61" s="195">
        <f t="shared" si="77"/>
        <v>100</v>
      </c>
      <c r="W61" s="195">
        <f t="shared" ca="1" si="78"/>
        <v>100</v>
      </c>
      <c r="Y61" s="199">
        <f t="shared" ca="1" si="79"/>
        <v>0</v>
      </c>
      <c r="Z61" s="199">
        <f t="shared" ca="1" si="80"/>
        <v>50</v>
      </c>
      <c r="AA61" s="199">
        <f t="shared" ca="1" si="81"/>
        <v>50</v>
      </c>
      <c r="AB61" s="199">
        <f t="shared" ca="1" si="82"/>
        <v>0</v>
      </c>
    </row>
    <row r="62" spans="2:28" ht="18" customHeight="1">
      <c r="B62" s="584">
        <v>10</v>
      </c>
      <c r="C62" s="587" t="s">
        <v>84</v>
      </c>
      <c r="D62" s="589" t="s">
        <v>186</v>
      </c>
      <c r="E62" s="591" t="s">
        <v>33</v>
      </c>
      <c r="F62" s="591" t="s">
        <v>86</v>
      </c>
      <c r="G62" s="591"/>
      <c r="H62" s="207" t="s">
        <v>33</v>
      </c>
      <c r="I62" s="207" t="s">
        <v>177</v>
      </c>
      <c r="J62" s="199">
        <f>'KH Solar Actual'!O14</f>
        <v>0</v>
      </c>
      <c r="K62" s="199">
        <f>'KH Solar Actual'!P14</f>
        <v>0</v>
      </c>
      <c r="L62" s="200">
        <f>'KH Solar Actual'!Q14</f>
        <v>0</v>
      </c>
      <c r="M62" s="199">
        <f>'KH Solar Actual'!R14</f>
        <v>0</v>
      </c>
      <c r="N62" s="199">
        <f>'KH Solar Actual'!S14</f>
        <v>0</v>
      </c>
      <c r="O62" s="199">
        <f>'KH Solar Actual'!T14</f>
        <v>100</v>
      </c>
      <c r="P62" s="199">
        <f>'KH Solar Actual'!U14</f>
        <v>0</v>
      </c>
      <c r="Q62" s="199">
        <f>'KH Solar Actual'!V14</f>
        <v>0</v>
      </c>
      <c r="R62" s="199">
        <f>'KH Solar Actual'!W14</f>
        <v>0</v>
      </c>
      <c r="S62" s="199">
        <f>'KH Solar Actual'!X14</f>
        <v>0</v>
      </c>
      <c r="T62" s="199">
        <f>'KH Solar Actual'!Y14</f>
        <v>0</v>
      </c>
      <c r="U62" s="199">
        <f>'KH Solar Actual'!Z14</f>
        <v>0</v>
      </c>
      <c r="V62" s="195">
        <f t="shared" si="77"/>
        <v>100</v>
      </c>
      <c r="W62" s="195">
        <f t="shared" ca="1" si="78"/>
        <v>100</v>
      </c>
      <c r="Y62" s="199">
        <f t="shared" ca="1" si="79"/>
        <v>0</v>
      </c>
      <c r="Z62" s="199">
        <f t="shared" ca="1" si="80"/>
        <v>100</v>
      </c>
      <c r="AA62" s="199">
        <f t="shared" ca="1" si="81"/>
        <v>0</v>
      </c>
      <c r="AB62" s="199">
        <f t="shared" ca="1" si="82"/>
        <v>0</v>
      </c>
    </row>
    <row r="63" spans="2:28" ht="18" customHeight="1">
      <c r="B63" s="582">
        <v>11</v>
      </c>
      <c r="C63" s="585" t="s">
        <v>30</v>
      </c>
      <c r="D63" s="585" t="s">
        <v>50</v>
      </c>
      <c r="E63" s="582" t="s">
        <v>33</v>
      </c>
      <c r="F63" s="582" t="s">
        <v>91</v>
      </c>
      <c r="G63" s="582">
        <v>150</v>
      </c>
      <c r="H63" s="206" t="s">
        <v>33</v>
      </c>
      <c r="I63" s="206" t="s">
        <v>175</v>
      </c>
      <c r="J63" s="197">
        <f>'KH Solar Plan'!AF26</f>
        <v>0</v>
      </c>
      <c r="K63" s="197">
        <f>'KH Solar Plan'!AG26</f>
        <v>0</v>
      </c>
      <c r="L63" s="198">
        <f>'KH Solar Plan'!AH26</f>
        <v>0</v>
      </c>
      <c r="M63" s="197">
        <f>'KH Solar Plan'!AI26</f>
        <v>0</v>
      </c>
      <c r="N63" s="197">
        <f>'KH Solar Plan'!AJ26</f>
        <v>0</v>
      </c>
      <c r="O63" s="197">
        <f>'KH Solar Plan'!AK26</f>
        <v>0</v>
      </c>
      <c r="P63" s="197">
        <f>'KH Solar Plan'!AL26</f>
        <v>0</v>
      </c>
      <c r="Q63" s="197">
        <f>'KH Solar Plan'!AM26</f>
        <v>50</v>
      </c>
      <c r="R63" s="197">
        <f>'KH Solar Plan'!AN26</f>
        <v>0</v>
      </c>
      <c r="S63" s="197">
        <f>'KH Solar Plan'!AO26</f>
        <v>100</v>
      </c>
      <c r="T63" s="197">
        <f>'KH Solar Plan'!AP26</f>
        <v>0</v>
      </c>
      <c r="U63" s="197">
        <f>'KH Solar Plan'!AQ26</f>
        <v>0</v>
      </c>
      <c r="V63" s="194">
        <f t="shared" si="77"/>
        <v>150</v>
      </c>
      <c r="W63" s="194">
        <f t="shared" ca="1" si="78"/>
        <v>50</v>
      </c>
      <c r="Y63" s="197">
        <f t="shared" ca="1" si="79"/>
        <v>0</v>
      </c>
      <c r="Z63" s="197">
        <f t="shared" ca="1" si="80"/>
        <v>0</v>
      </c>
      <c r="AA63" s="197">
        <f t="shared" ca="1" si="81"/>
        <v>50</v>
      </c>
      <c r="AB63" s="197">
        <f t="shared" ca="1" si="82"/>
        <v>100</v>
      </c>
    </row>
    <row r="64" spans="2:28" ht="18" customHeight="1">
      <c r="B64" s="583">
        <v>11</v>
      </c>
      <c r="C64" s="586" t="s">
        <v>30</v>
      </c>
      <c r="D64" s="588" t="s">
        <v>50</v>
      </c>
      <c r="E64" s="590" t="s">
        <v>33</v>
      </c>
      <c r="F64" s="590" t="s">
        <v>91</v>
      </c>
      <c r="G64" s="590"/>
      <c r="H64" s="207" t="s">
        <v>33</v>
      </c>
      <c r="I64" s="207" t="s">
        <v>176</v>
      </c>
      <c r="J64" s="199">
        <f>'KH Solar Rephase'!AE17</f>
        <v>0</v>
      </c>
      <c r="K64" s="199">
        <f>'KH Solar Rephase'!AF17</f>
        <v>0</v>
      </c>
      <c r="L64" s="200">
        <f>'KH Solar Rephase'!AG17</f>
        <v>0</v>
      </c>
      <c r="M64" s="199">
        <f>'KH Solar Rephase'!AH17</f>
        <v>0</v>
      </c>
      <c r="N64" s="199">
        <f>'KH Solar Rephase'!AI17</f>
        <v>0</v>
      </c>
      <c r="O64" s="199">
        <f>'KH Solar Rephase'!AJ17</f>
        <v>0</v>
      </c>
      <c r="P64" s="199">
        <f>'KH Solar Rephase'!AK17</f>
        <v>50</v>
      </c>
      <c r="Q64" s="199">
        <f>'KH Solar Rephase'!AL17</f>
        <v>50</v>
      </c>
      <c r="R64" s="199">
        <f>'KH Solar Rephase'!AM17</f>
        <v>0</v>
      </c>
      <c r="S64" s="199">
        <f>'KH Solar Rephase'!AN17</f>
        <v>50</v>
      </c>
      <c r="T64" s="199">
        <f>'KH Solar Rephase'!AO17</f>
        <v>0</v>
      </c>
      <c r="U64" s="199">
        <f>'KH Solar Rephase'!AP17</f>
        <v>0</v>
      </c>
      <c r="V64" s="195">
        <f t="shared" si="77"/>
        <v>150</v>
      </c>
      <c r="W64" s="195">
        <f t="shared" ca="1" si="78"/>
        <v>100</v>
      </c>
      <c r="Y64" s="199">
        <f t="shared" ca="1" si="79"/>
        <v>0</v>
      </c>
      <c r="Z64" s="199">
        <f t="shared" ca="1" si="80"/>
        <v>0</v>
      </c>
      <c r="AA64" s="199">
        <f t="shared" ca="1" si="81"/>
        <v>100</v>
      </c>
      <c r="AB64" s="199">
        <f t="shared" ca="1" si="82"/>
        <v>50</v>
      </c>
    </row>
    <row r="65" spans="2:28" ht="18" customHeight="1">
      <c r="B65" s="584">
        <v>11</v>
      </c>
      <c r="C65" s="587" t="s">
        <v>30</v>
      </c>
      <c r="D65" s="589" t="s">
        <v>50</v>
      </c>
      <c r="E65" s="591" t="s">
        <v>33</v>
      </c>
      <c r="F65" s="591" t="s">
        <v>91</v>
      </c>
      <c r="G65" s="591"/>
      <c r="H65" s="207" t="s">
        <v>33</v>
      </c>
      <c r="I65" s="207" t="s">
        <v>177</v>
      </c>
      <c r="J65" s="199">
        <f>'KH Solar Actual'!O15</f>
        <v>0</v>
      </c>
      <c r="K65" s="199">
        <f>'KH Solar Actual'!P15</f>
        <v>0</v>
      </c>
      <c r="L65" s="200">
        <f>'KH Solar Actual'!Q15</f>
        <v>0</v>
      </c>
      <c r="M65" s="199">
        <f>'KH Solar Actual'!R15</f>
        <v>0</v>
      </c>
      <c r="N65" s="199">
        <f>'KH Solar Actual'!S15</f>
        <v>0</v>
      </c>
      <c r="O65" s="199">
        <f>'KH Solar Actual'!T15</f>
        <v>50</v>
      </c>
      <c r="P65" s="199">
        <f>'KH Solar Actual'!U15</f>
        <v>0</v>
      </c>
      <c r="Q65" s="199">
        <f>'KH Solar Actual'!V15</f>
        <v>0</v>
      </c>
      <c r="R65" s="199">
        <f>'KH Solar Actual'!W15</f>
        <v>0</v>
      </c>
      <c r="S65" s="199">
        <f>'KH Solar Actual'!X15</f>
        <v>50</v>
      </c>
      <c r="T65" s="199">
        <f>'KH Solar Actual'!Y15</f>
        <v>50</v>
      </c>
      <c r="U65" s="199">
        <f>'KH Solar Actual'!Z15</f>
        <v>0</v>
      </c>
      <c r="V65" s="195">
        <f t="shared" si="77"/>
        <v>150</v>
      </c>
      <c r="W65" s="195">
        <f t="shared" ref="W65:W101" ca="1" si="83">SUM(OFFSET(J65,0,0,1,$A$1))</f>
        <v>50</v>
      </c>
      <c r="Y65" s="199">
        <f t="shared" ca="1" si="79"/>
        <v>0</v>
      </c>
      <c r="Z65" s="199">
        <f t="shared" ca="1" si="80"/>
        <v>50</v>
      </c>
      <c r="AA65" s="199">
        <f t="shared" ca="1" si="81"/>
        <v>0</v>
      </c>
      <c r="AB65" s="199">
        <f t="shared" ca="1" si="82"/>
        <v>100</v>
      </c>
    </row>
    <row r="66" spans="2:28" ht="18" customHeight="1">
      <c r="B66" s="582">
        <v>12</v>
      </c>
      <c r="C66" s="585" t="s">
        <v>84</v>
      </c>
      <c r="D66" s="585" t="s">
        <v>95</v>
      </c>
      <c r="E66" s="582" t="s">
        <v>33</v>
      </c>
      <c r="F66" s="582" t="s">
        <v>96</v>
      </c>
      <c r="G66" s="582">
        <v>292</v>
      </c>
      <c r="H66" s="206" t="s">
        <v>33</v>
      </c>
      <c r="I66" s="206" t="s">
        <v>175</v>
      </c>
      <c r="J66" s="197">
        <f>J69+J72</f>
        <v>0</v>
      </c>
      <c r="K66" s="197">
        <f t="shared" ref="K66:U66" si="84">K69+K72</f>
        <v>100</v>
      </c>
      <c r="L66" s="198">
        <f t="shared" si="84"/>
        <v>192</v>
      </c>
      <c r="M66" s="197">
        <f t="shared" si="84"/>
        <v>0</v>
      </c>
      <c r="N66" s="197">
        <f t="shared" si="84"/>
        <v>0</v>
      </c>
      <c r="O66" s="197">
        <f t="shared" si="84"/>
        <v>0</v>
      </c>
      <c r="P66" s="197">
        <f t="shared" si="84"/>
        <v>0</v>
      </c>
      <c r="Q66" s="197">
        <f t="shared" si="84"/>
        <v>0</v>
      </c>
      <c r="R66" s="197">
        <f t="shared" si="84"/>
        <v>0</v>
      </c>
      <c r="S66" s="197">
        <f t="shared" si="84"/>
        <v>0</v>
      </c>
      <c r="T66" s="197">
        <f t="shared" si="84"/>
        <v>0</v>
      </c>
      <c r="U66" s="197">
        <f t="shared" si="84"/>
        <v>0</v>
      </c>
      <c r="V66" s="194">
        <f t="shared" ref="V66:V68" si="85">SUM(J66:U66)</f>
        <v>292</v>
      </c>
      <c r="W66" s="194">
        <f t="shared" ref="W66:W68" ca="1" si="86">SUM(OFFSET(J66,0,0,1,$A$1))</f>
        <v>292</v>
      </c>
      <c r="Y66" s="197">
        <f t="shared" ca="1" si="79"/>
        <v>292</v>
      </c>
      <c r="Z66" s="197">
        <f t="shared" ca="1" si="80"/>
        <v>0</v>
      </c>
      <c r="AA66" s="197">
        <f t="shared" ca="1" si="81"/>
        <v>0</v>
      </c>
      <c r="AB66" s="197">
        <f t="shared" ca="1" si="82"/>
        <v>0</v>
      </c>
    </row>
    <row r="67" spans="2:28" ht="18" customHeight="1">
      <c r="B67" s="583">
        <v>12</v>
      </c>
      <c r="C67" s="586" t="s">
        <v>84</v>
      </c>
      <c r="D67" s="588" t="s">
        <v>95</v>
      </c>
      <c r="E67" s="590" t="s">
        <v>33</v>
      </c>
      <c r="F67" s="590" t="s">
        <v>96</v>
      </c>
      <c r="G67" s="590"/>
      <c r="H67" s="207" t="s">
        <v>33</v>
      </c>
      <c r="I67" s="207" t="s">
        <v>176</v>
      </c>
      <c r="J67" s="199">
        <f t="shared" ref="J67:U67" si="87">J70+J73</f>
        <v>0</v>
      </c>
      <c r="K67" s="199">
        <f t="shared" si="87"/>
        <v>0</v>
      </c>
      <c r="L67" s="200">
        <f t="shared" si="87"/>
        <v>0</v>
      </c>
      <c r="M67" s="199">
        <f t="shared" si="87"/>
        <v>50</v>
      </c>
      <c r="N67" s="199">
        <f t="shared" si="87"/>
        <v>0</v>
      </c>
      <c r="O67" s="199">
        <f t="shared" si="87"/>
        <v>75</v>
      </c>
      <c r="P67" s="199">
        <f t="shared" si="87"/>
        <v>62</v>
      </c>
      <c r="Q67" s="199">
        <f t="shared" si="87"/>
        <v>105</v>
      </c>
      <c r="R67" s="199">
        <f t="shared" si="87"/>
        <v>0</v>
      </c>
      <c r="S67" s="199">
        <f t="shared" si="87"/>
        <v>0</v>
      </c>
      <c r="T67" s="199">
        <f t="shared" si="87"/>
        <v>0</v>
      </c>
      <c r="U67" s="199">
        <f t="shared" si="87"/>
        <v>0</v>
      </c>
      <c r="V67" s="195">
        <f t="shared" si="85"/>
        <v>292</v>
      </c>
      <c r="W67" s="195">
        <f t="shared" ca="1" si="86"/>
        <v>292</v>
      </c>
      <c r="Y67" s="199">
        <f t="shared" ca="1" si="79"/>
        <v>0</v>
      </c>
      <c r="Z67" s="199">
        <f t="shared" ca="1" si="80"/>
        <v>125</v>
      </c>
      <c r="AA67" s="199">
        <f t="shared" ca="1" si="81"/>
        <v>167</v>
      </c>
      <c r="AB67" s="199">
        <f t="shared" ca="1" si="82"/>
        <v>0</v>
      </c>
    </row>
    <row r="68" spans="2:28" ht="18" customHeight="1">
      <c r="B68" s="584">
        <v>12</v>
      </c>
      <c r="C68" s="587" t="s">
        <v>84</v>
      </c>
      <c r="D68" s="589" t="s">
        <v>95</v>
      </c>
      <c r="E68" s="591" t="s">
        <v>33</v>
      </c>
      <c r="F68" s="591" t="s">
        <v>96</v>
      </c>
      <c r="G68" s="591"/>
      <c r="H68" s="207" t="s">
        <v>33</v>
      </c>
      <c r="I68" s="207" t="s">
        <v>177</v>
      </c>
      <c r="J68" s="199">
        <f t="shared" ref="J68:U68" si="88">J71+J74</f>
        <v>0</v>
      </c>
      <c r="K68" s="199">
        <f t="shared" si="88"/>
        <v>0</v>
      </c>
      <c r="L68" s="200">
        <f t="shared" si="88"/>
        <v>0</v>
      </c>
      <c r="M68" s="199">
        <f t="shared" si="88"/>
        <v>0</v>
      </c>
      <c r="N68" s="199">
        <f t="shared" si="88"/>
        <v>0</v>
      </c>
      <c r="O68" s="199">
        <f t="shared" si="88"/>
        <v>50</v>
      </c>
      <c r="P68" s="199">
        <f t="shared" si="88"/>
        <v>0</v>
      </c>
      <c r="Q68" s="199">
        <f t="shared" si="88"/>
        <v>50</v>
      </c>
      <c r="R68" s="199">
        <f t="shared" si="88"/>
        <v>50</v>
      </c>
      <c r="S68" s="199">
        <f t="shared" si="88"/>
        <v>75</v>
      </c>
      <c r="T68" s="199">
        <f t="shared" si="88"/>
        <v>67</v>
      </c>
      <c r="U68" s="199">
        <f t="shared" si="88"/>
        <v>0</v>
      </c>
      <c r="V68" s="195">
        <f t="shared" si="85"/>
        <v>292</v>
      </c>
      <c r="W68" s="195">
        <f t="shared" ca="1" si="86"/>
        <v>100</v>
      </c>
      <c r="Y68" s="199">
        <f t="shared" ca="1" si="79"/>
        <v>0</v>
      </c>
      <c r="Z68" s="199">
        <f t="shared" ca="1" si="80"/>
        <v>50</v>
      </c>
      <c r="AA68" s="199">
        <f t="shared" ca="1" si="81"/>
        <v>100</v>
      </c>
      <c r="AB68" s="199">
        <f t="shared" ca="1" si="82"/>
        <v>142</v>
      </c>
    </row>
    <row r="69" spans="2:28" ht="18" hidden="1" customHeight="1">
      <c r="B69" s="582" t="s">
        <v>187</v>
      </c>
      <c r="C69" s="585" t="s">
        <v>84</v>
      </c>
      <c r="D69" s="585" t="s">
        <v>95</v>
      </c>
      <c r="E69" s="582" t="s">
        <v>33</v>
      </c>
      <c r="F69" s="582" t="s">
        <v>96</v>
      </c>
      <c r="G69" s="582">
        <v>142</v>
      </c>
      <c r="H69" s="206"/>
      <c r="I69" s="206"/>
      <c r="J69" s="197">
        <f>'KH Solar Plan'!AF27</f>
        <v>0</v>
      </c>
      <c r="K69" s="197">
        <f>'KH Solar Plan'!AG27</f>
        <v>100</v>
      </c>
      <c r="L69" s="198">
        <f>'KH Solar Plan'!AH27</f>
        <v>42</v>
      </c>
      <c r="M69" s="197">
        <f>'KH Solar Plan'!AI27</f>
        <v>0</v>
      </c>
      <c r="N69" s="197">
        <f>'KH Solar Plan'!AJ27</f>
        <v>0</v>
      </c>
      <c r="O69" s="197">
        <f>'KH Solar Plan'!AK27</f>
        <v>0</v>
      </c>
      <c r="P69" s="197">
        <f>'KH Solar Plan'!AL27</f>
        <v>0</v>
      </c>
      <c r="Q69" s="197">
        <f>'KH Solar Plan'!AM27</f>
        <v>0</v>
      </c>
      <c r="R69" s="197">
        <f>'KH Solar Plan'!AN27</f>
        <v>0</v>
      </c>
      <c r="S69" s="197">
        <f>'KH Solar Plan'!AO27</f>
        <v>0</v>
      </c>
      <c r="T69" s="197">
        <f>'KH Solar Plan'!AP27</f>
        <v>0</v>
      </c>
      <c r="U69" s="197">
        <f>'KH Solar Plan'!AQ27</f>
        <v>0</v>
      </c>
      <c r="V69" s="194">
        <f t="shared" si="77"/>
        <v>142</v>
      </c>
      <c r="W69" s="194">
        <f t="shared" ca="1" si="83"/>
        <v>142</v>
      </c>
      <c r="Y69" s="197">
        <f t="shared" ca="1" si="79"/>
        <v>142</v>
      </c>
      <c r="Z69" s="197">
        <f t="shared" ca="1" si="80"/>
        <v>0</v>
      </c>
      <c r="AA69" s="197">
        <f t="shared" ca="1" si="81"/>
        <v>0</v>
      </c>
      <c r="AB69" s="197">
        <f t="shared" ca="1" si="82"/>
        <v>0</v>
      </c>
    </row>
    <row r="70" spans="2:28" ht="18" hidden="1" customHeight="1">
      <c r="B70" s="583">
        <v>12</v>
      </c>
      <c r="C70" s="586" t="s">
        <v>84</v>
      </c>
      <c r="D70" s="588" t="s">
        <v>95</v>
      </c>
      <c r="E70" s="590" t="s">
        <v>33</v>
      </c>
      <c r="F70" s="590" t="s">
        <v>96</v>
      </c>
      <c r="G70" s="590"/>
      <c r="H70" s="207"/>
      <c r="I70" s="207"/>
      <c r="J70" s="199">
        <f>'KH Solar Rephase'!AE18</f>
        <v>0</v>
      </c>
      <c r="K70" s="199">
        <f>'KH Solar Rephase'!AF18</f>
        <v>0</v>
      </c>
      <c r="L70" s="200">
        <f>'KH Solar Rephase'!AG18</f>
        <v>0</v>
      </c>
      <c r="M70" s="199">
        <f>'KH Solar Rephase'!AH18</f>
        <v>50</v>
      </c>
      <c r="N70" s="199">
        <f>'KH Solar Rephase'!AI18</f>
        <v>0</v>
      </c>
      <c r="O70" s="199">
        <f>'KH Solar Rephase'!AJ18</f>
        <v>75</v>
      </c>
      <c r="P70" s="199">
        <f>'KH Solar Rephase'!AK18</f>
        <v>17</v>
      </c>
      <c r="Q70" s="199">
        <f>'KH Solar Rephase'!AL18</f>
        <v>0</v>
      </c>
      <c r="R70" s="199">
        <f>'KH Solar Rephase'!AM18</f>
        <v>0</v>
      </c>
      <c r="S70" s="199">
        <f>'KH Solar Rephase'!AN18</f>
        <v>0</v>
      </c>
      <c r="T70" s="199">
        <f>'KH Solar Rephase'!AO18</f>
        <v>0</v>
      </c>
      <c r="U70" s="199">
        <f>'KH Solar Rephase'!AP18</f>
        <v>0</v>
      </c>
      <c r="V70" s="195">
        <f t="shared" si="77"/>
        <v>142</v>
      </c>
      <c r="W70" s="195">
        <f t="shared" ca="1" si="83"/>
        <v>142</v>
      </c>
      <c r="Y70" s="199">
        <f t="shared" ca="1" si="79"/>
        <v>0</v>
      </c>
      <c r="Z70" s="199">
        <f t="shared" ca="1" si="80"/>
        <v>125</v>
      </c>
      <c r="AA70" s="199">
        <f t="shared" ca="1" si="81"/>
        <v>17</v>
      </c>
      <c r="AB70" s="199">
        <f t="shared" ca="1" si="82"/>
        <v>0</v>
      </c>
    </row>
    <row r="71" spans="2:28" ht="18" hidden="1" customHeight="1">
      <c r="B71" s="584">
        <v>12</v>
      </c>
      <c r="C71" s="587" t="s">
        <v>84</v>
      </c>
      <c r="D71" s="589" t="s">
        <v>95</v>
      </c>
      <c r="E71" s="591" t="s">
        <v>33</v>
      </c>
      <c r="F71" s="591" t="s">
        <v>96</v>
      </c>
      <c r="G71" s="591"/>
      <c r="H71" s="207"/>
      <c r="I71" s="207"/>
      <c r="J71" s="199">
        <f>'KH Solar Actual'!O17</f>
        <v>0</v>
      </c>
      <c r="K71" s="199">
        <f>'KH Solar Actual'!P17</f>
        <v>0</v>
      </c>
      <c r="L71" s="200">
        <f>'KH Solar Actual'!Q17</f>
        <v>0</v>
      </c>
      <c r="M71" s="199">
        <f>'KH Solar Actual'!R17</f>
        <v>0</v>
      </c>
      <c r="N71" s="199">
        <f>'KH Solar Actual'!S17</f>
        <v>0</v>
      </c>
      <c r="O71" s="199">
        <f>'KH Solar Actual'!T17</f>
        <v>50</v>
      </c>
      <c r="P71" s="199">
        <f>'KH Solar Actual'!U17</f>
        <v>0</v>
      </c>
      <c r="Q71" s="199">
        <f>'KH Solar Actual'!V17</f>
        <v>50</v>
      </c>
      <c r="R71" s="199">
        <f>'KH Solar Actual'!W17</f>
        <v>0</v>
      </c>
      <c r="S71" s="199">
        <f>'KH Solar Actual'!X17</f>
        <v>0</v>
      </c>
      <c r="T71" s="199">
        <f>'KH Solar Actual'!Y17</f>
        <v>42</v>
      </c>
      <c r="U71" s="199">
        <f>'KH Solar Actual'!Z17</f>
        <v>0</v>
      </c>
      <c r="V71" s="195">
        <f t="shared" si="77"/>
        <v>142</v>
      </c>
      <c r="W71" s="195">
        <f t="shared" ca="1" si="83"/>
        <v>100</v>
      </c>
      <c r="Y71" s="199">
        <f t="shared" ca="1" si="79"/>
        <v>0</v>
      </c>
      <c r="Z71" s="199">
        <f t="shared" ca="1" si="80"/>
        <v>50</v>
      </c>
      <c r="AA71" s="199">
        <f t="shared" ca="1" si="81"/>
        <v>50</v>
      </c>
      <c r="AB71" s="199">
        <f t="shared" ca="1" si="82"/>
        <v>42</v>
      </c>
    </row>
    <row r="72" spans="2:28" ht="18" hidden="1" customHeight="1">
      <c r="B72" s="582" t="s">
        <v>188</v>
      </c>
      <c r="C72" s="585" t="s">
        <v>30</v>
      </c>
      <c r="D72" s="585" t="s">
        <v>95</v>
      </c>
      <c r="E72" s="582" t="s">
        <v>33</v>
      </c>
      <c r="F72" s="582" t="s">
        <v>96</v>
      </c>
      <c r="G72" s="582">
        <v>150</v>
      </c>
      <c r="H72" s="206"/>
      <c r="I72" s="206"/>
      <c r="J72" s="197">
        <f>'KH Solar Plan'!AF28</f>
        <v>0</v>
      </c>
      <c r="K72" s="197">
        <f>'KH Solar Plan'!AG28</f>
        <v>0</v>
      </c>
      <c r="L72" s="197">
        <f>'KH Solar Plan'!AH28</f>
        <v>150</v>
      </c>
      <c r="M72" s="197">
        <f>'KH Solar Plan'!AI28</f>
        <v>0</v>
      </c>
      <c r="N72" s="197">
        <f>'KH Solar Plan'!AJ28</f>
        <v>0</v>
      </c>
      <c r="O72" s="197">
        <f>'KH Solar Plan'!AK28</f>
        <v>0</v>
      </c>
      <c r="P72" s="197">
        <f>'KH Solar Plan'!AL28</f>
        <v>0</v>
      </c>
      <c r="Q72" s="197">
        <f>'KH Solar Plan'!AM28</f>
        <v>0</v>
      </c>
      <c r="R72" s="197">
        <f>'KH Solar Plan'!AN28</f>
        <v>0</v>
      </c>
      <c r="S72" s="197">
        <f>'KH Solar Plan'!AO28</f>
        <v>0</v>
      </c>
      <c r="T72" s="197">
        <f>'KH Solar Plan'!AP28</f>
        <v>0</v>
      </c>
      <c r="U72" s="197">
        <f>'KH Solar Plan'!AQ28</f>
        <v>0</v>
      </c>
      <c r="V72" s="194">
        <f t="shared" ref="V72:V74" si="89">SUM(J72:U72)</f>
        <v>150</v>
      </c>
      <c r="W72" s="194">
        <f t="shared" ref="W72:W74" ca="1" si="90">SUM(OFFSET(J72,0,0,1,$A$1))</f>
        <v>150</v>
      </c>
      <c r="Y72" s="197">
        <f t="shared" ca="1" si="79"/>
        <v>150</v>
      </c>
      <c r="Z72" s="197">
        <f t="shared" ca="1" si="80"/>
        <v>0</v>
      </c>
      <c r="AA72" s="197">
        <f t="shared" ca="1" si="81"/>
        <v>0</v>
      </c>
      <c r="AB72" s="197">
        <f t="shared" ca="1" si="82"/>
        <v>0</v>
      </c>
    </row>
    <row r="73" spans="2:28" ht="18" hidden="1" customHeight="1">
      <c r="B73" s="583">
        <v>12</v>
      </c>
      <c r="C73" s="586" t="s">
        <v>84</v>
      </c>
      <c r="D73" s="588" t="s">
        <v>95</v>
      </c>
      <c r="E73" s="590" t="s">
        <v>33</v>
      </c>
      <c r="F73" s="590" t="s">
        <v>96</v>
      </c>
      <c r="G73" s="590"/>
      <c r="H73" s="207"/>
      <c r="I73" s="207"/>
      <c r="J73" s="199">
        <f>'KH Solar Rephase'!AE19</f>
        <v>0</v>
      </c>
      <c r="K73" s="199">
        <f>'KH Solar Rephase'!AF19</f>
        <v>0</v>
      </c>
      <c r="L73" s="199">
        <f>'KH Solar Rephase'!AG19</f>
        <v>0</v>
      </c>
      <c r="M73" s="199">
        <f>'KH Solar Rephase'!AH19</f>
        <v>0</v>
      </c>
      <c r="N73" s="199">
        <f>'KH Solar Rephase'!AI19</f>
        <v>0</v>
      </c>
      <c r="O73" s="199">
        <f>'KH Solar Rephase'!AJ19</f>
        <v>0</v>
      </c>
      <c r="P73" s="199">
        <f>'KH Solar Rephase'!AK19</f>
        <v>45</v>
      </c>
      <c r="Q73" s="199">
        <f>'KH Solar Rephase'!AL19</f>
        <v>105</v>
      </c>
      <c r="R73" s="199">
        <f>'KH Solar Rephase'!AM19</f>
        <v>0</v>
      </c>
      <c r="S73" s="199">
        <f>'KH Solar Rephase'!AN19</f>
        <v>0</v>
      </c>
      <c r="T73" s="199">
        <f>'KH Solar Rephase'!AO19</f>
        <v>0</v>
      </c>
      <c r="U73" s="199">
        <f>'KH Solar Rephase'!AP19</f>
        <v>0</v>
      </c>
      <c r="V73" s="195">
        <f t="shared" si="89"/>
        <v>150</v>
      </c>
      <c r="W73" s="195">
        <f t="shared" ca="1" si="90"/>
        <v>150</v>
      </c>
      <c r="Y73" s="199">
        <f t="shared" ca="1" si="79"/>
        <v>0</v>
      </c>
      <c r="Z73" s="199">
        <f t="shared" ca="1" si="80"/>
        <v>0</v>
      </c>
      <c r="AA73" s="199">
        <f t="shared" ca="1" si="81"/>
        <v>150</v>
      </c>
      <c r="AB73" s="199">
        <f t="shared" ca="1" si="82"/>
        <v>0</v>
      </c>
    </row>
    <row r="74" spans="2:28" ht="18" hidden="1" customHeight="1">
      <c r="B74" s="584">
        <v>12</v>
      </c>
      <c r="C74" s="587" t="s">
        <v>84</v>
      </c>
      <c r="D74" s="589" t="s">
        <v>95</v>
      </c>
      <c r="E74" s="591" t="s">
        <v>33</v>
      </c>
      <c r="F74" s="591" t="s">
        <v>96</v>
      </c>
      <c r="G74" s="591"/>
      <c r="H74" s="207"/>
      <c r="I74" s="207"/>
      <c r="J74" s="199">
        <f>'KH Solar Actual'!O18</f>
        <v>0</v>
      </c>
      <c r="K74" s="199">
        <f>'KH Solar Actual'!P18</f>
        <v>0</v>
      </c>
      <c r="L74" s="199">
        <f>'KH Solar Actual'!Q18</f>
        <v>0</v>
      </c>
      <c r="M74" s="199">
        <f>'KH Solar Actual'!R18</f>
        <v>0</v>
      </c>
      <c r="N74" s="199">
        <f>'KH Solar Actual'!S18</f>
        <v>0</v>
      </c>
      <c r="O74" s="199">
        <f>'KH Solar Actual'!T18</f>
        <v>0</v>
      </c>
      <c r="P74" s="199">
        <f>'KH Solar Actual'!U18</f>
        <v>0</v>
      </c>
      <c r="Q74" s="199">
        <f>'KH Solar Actual'!V18</f>
        <v>0</v>
      </c>
      <c r="R74" s="199">
        <f>'KH Solar Actual'!W18</f>
        <v>50</v>
      </c>
      <c r="S74" s="199">
        <f>'KH Solar Actual'!X18</f>
        <v>75</v>
      </c>
      <c r="T74" s="199">
        <f>'KH Solar Actual'!Y18</f>
        <v>25</v>
      </c>
      <c r="U74" s="199">
        <f>'KH Solar Actual'!Z18</f>
        <v>0</v>
      </c>
      <c r="V74" s="195">
        <f t="shared" si="89"/>
        <v>150</v>
      </c>
      <c r="W74" s="195">
        <f t="shared" ca="1" si="90"/>
        <v>0</v>
      </c>
      <c r="Y74" s="199">
        <f t="shared" ca="1" si="79"/>
        <v>0</v>
      </c>
      <c r="Z74" s="199">
        <f t="shared" ca="1" si="80"/>
        <v>0</v>
      </c>
      <c r="AA74" s="199">
        <f t="shared" ca="1" si="81"/>
        <v>50</v>
      </c>
      <c r="AB74" s="199">
        <f t="shared" ca="1" si="82"/>
        <v>100</v>
      </c>
    </row>
    <row r="75" spans="2:28" ht="18" customHeight="1">
      <c r="B75" s="582">
        <v>13</v>
      </c>
      <c r="C75" s="585" t="s">
        <v>30</v>
      </c>
      <c r="D75" s="585" t="s">
        <v>101</v>
      </c>
      <c r="E75" s="582" t="s">
        <v>33</v>
      </c>
      <c r="F75" s="582" t="s">
        <v>96</v>
      </c>
      <c r="G75" s="582">
        <v>150</v>
      </c>
      <c r="H75" s="206" t="s">
        <v>33</v>
      </c>
      <c r="I75" s="206" t="s">
        <v>175</v>
      </c>
      <c r="J75" s="197">
        <f>'KH Solar Plan'!AF29</f>
        <v>0</v>
      </c>
      <c r="K75" s="197">
        <f>'KH Solar Plan'!AG29</f>
        <v>50</v>
      </c>
      <c r="L75" s="198">
        <f>'KH Solar Plan'!AH29</f>
        <v>100</v>
      </c>
      <c r="M75" s="197">
        <f>'KH Solar Plan'!AI29</f>
        <v>0</v>
      </c>
      <c r="N75" s="197">
        <f>'KH Solar Plan'!AJ29</f>
        <v>0</v>
      </c>
      <c r="O75" s="197">
        <f>'KH Solar Plan'!AK29</f>
        <v>0</v>
      </c>
      <c r="P75" s="197">
        <f>'KH Solar Plan'!AL29</f>
        <v>0</v>
      </c>
      <c r="Q75" s="197">
        <f>'KH Solar Plan'!AM29</f>
        <v>0</v>
      </c>
      <c r="R75" s="197">
        <f>'KH Solar Plan'!AN29</f>
        <v>0</v>
      </c>
      <c r="S75" s="197">
        <f>'KH Solar Plan'!AO29</f>
        <v>0</v>
      </c>
      <c r="T75" s="197">
        <f>'KH Solar Plan'!AP29</f>
        <v>0</v>
      </c>
      <c r="U75" s="197">
        <f>'KH Solar Plan'!AQ29</f>
        <v>0</v>
      </c>
      <c r="V75" s="194">
        <f t="shared" si="77"/>
        <v>150</v>
      </c>
      <c r="W75" s="194">
        <f t="shared" ca="1" si="83"/>
        <v>150</v>
      </c>
      <c r="Y75" s="197">
        <f t="shared" ca="1" si="79"/>
        <v>150</v>
      </c>
      <c r="Z75" s="197">
        <f t="shared" ca="1" si="80"/>
        <v>0</v>
      </c>
      <c r="AA75" s="197">
        <f t="shared" ca="1" si="81"/>
        <v>0</v>
      </c>
      <c r="AB75" s="197">
        <f t="shared" ca="1" si="82"/>
        <v>0</v>
      </c>
    </row>
    <row r="76" spans="2:28" ht="18" customHeight="1">
      <c r="B76" s="583">
        <v>13</v>
      </c>
      <c r="C76" s="586" t="s">
        <v>30</v>
      </c>
      <c r="D76" s="588" t="s">
        <v>101</v>
      </c>
      <c r="E76" s="590" t="s">
        <v>33</v>
      </c>
      <c r="F76" s="590" t="s">
        <v>96</v>
      </c>
      <c r="G76" s="590"/>
      <c r="H76" s="207" t="s">
        <v>33</v>
      </c>
      <c r="I76" s="207" t="s">
        <v>176</v>
      </c>
      <c r="J76" s="199">
        <f>'KH Solar Rephase'!AE20</f>
        <v>0</v>
      </c>
      <c r="K76" s="199">
        <f>'KH Solar Rephase'!AF20</f>
        <v>0</v>
      </c>
      <c r="L76" s="200">
        <f>'KH Solar Rephase'!AG20</f>
        <v>0</v>
      </c>
      <c r="M76" s="199">
        <f>'KH Solar Rephase'!AH20</f>
        <v>0</v>
      </c>
      <c r="N76" s="199">
        <f>'KH Solar Rephase'!AI20</f>
        <v>0</v>
      </c>
      <c r="O76" s="199">
        <f>'KH Solar Rephase'!AJ20</f>
        <v>0</v>
      </c>
      <c r="P76" s="199">
        <f>'KH Solar Rephase'!AK20</f>
        <v>0</v>
      </c>
      <c r="Q76" s="199">
        <f>'KH Solar Rephase'!AL20</f>
        <v>0</v>
      </c>
      <c r="R76" s="199">
        <f>'KH Solar Rephase'!AM20</f>
        <v>0</v>
      </c>
      <c r="S76" s="199">
        <f>'KH Solar Rephase'!AN20</f>
        <v>50</v>
      </c>
      <c r="T76" s="199">
        <f>'KH Solar Rephase'!AO20</f>
        <v>100</v>
      </c>
      <c r="U76" s="199">
        <f>'KH Solar Rephase'!AP20</f>
        <v>0</v>
      </c>
      <c r="V76" s="195">
        <f t="shared" si="77"/>
        <v>150</v>
      </c>
      <c r="W76" s="195">
        <f t="shared" ca="1" si="83"/>
        <v>0</v>
      </c>
      <c r="Y76" s="199">
        <f t="shared" ca="1" si="79"/>
        <v>0</v>
      </c>
      <c r="Z76" s="199">
        <f t="shared" ca="1" si="80"/>
        <v>0</v>
      </c>
      <c r="AA76" s="199">
        <f t="shared" ca="1" si="81"/>
        <v>0</v>
      </c>
      <c r="AB76" s="199">
        <f t="shared" ca="1" si="82"/>
        <v>150</v>
      </c>
    </row>
    <row r="77" spans="2:28" ht="18" customHeight="1">
      <c r="B77" s="584">
        <v>13</v>
      </c>
      <c r="C77" s="587" t="s">
        <v>30</v>
      </c>
      <c r="D77" s="589" t="s">
        <v>101</v>
      </c>
      <c r="E77" s="591" t="s">
        <v>33</v>
      </c>
      <c r="F77" s="591" t="s">
        <v>96</v>
      </c>
      <c r="G77" s="591"/>
      <c r="H77" s="207" t="s">
        <v>33</v>
      </c>
      <c r="I77" s="207" t="s">
        <v>177</v>
      </c>
      <c r="J77" s="199">
        <f>'KH Solar Actual'!O19</f>
        <v>0</v>
      </c>
      <c r="K77" s="199">
        <f>'KH Solar Actual'!P19</f>
        <v>0</v>
      </c>
      <c r="L77" s="200">
        <f>'KH Solar Actual'!Q19</f>
        <v>0</v>
      </c>
      <c r="M77" s="199">
        <f>'KH Solar Actual'!R19</f>
        <v>0</v>
      </c>
      <c r="N77" s="199">
        <f>'KH Solar Actual'!S19</f>
        <v>0</v>
      </c>
      <c r="O77" s="199">
        <f>'KH Solar Actual'!T19</f>
        <v>0</v>
      </c>
      <c r="P77" s="199">
        <f>'KH Solar Actual'!U19</f>
        <v>0</v>
      </c>
      <c r="Q77" s="199">
        <f>'KH Solar Actual'!V19</f>
        <v>0</v>
      </c>
      <c r="R77" s="199">
        <f>'KH Solar Actual'!W19</f>
        <v>0</v>
      </c>
      <c r="S77" s="199">
        <f>'KH Solar Actual'!X19</f>
        <v>62.5</v>
      </c>
      <c r="T77" s="199">
        <f>'KH Solar Actual'!Y19</f>
        <v>87.5</v>
      </c>
      <c r="U77" s="199">
        <f>'KH Solar Actual'!Z19</f>
        <v>0</v>
      </c>
      <c r="V77" s="195">
        <f t="shared" si="77"/>
        <v>150</v>
      </c>
      <c r="W77" s="195">
        <f t="shared" ca="1" si="83"/>
        <v>0</v>
      </c>
      <c r="Y77" s="199">
        <f t="shared" ca="1" si="79"/>
        <v>0</v>
      </c>
      <c r="Z77" s="199">
        <f t="shared" ca="1" si="80"/>
        <v>0</v>
      </c>
      <c r="AA77" s="199">
        <f t="shared" ca="1" si="81"/>
        <v>0</v>
      </c>
      <c r="AB77" s="199">
        <f t="shared" ca="1" si="82"/>
        <v>150</v>
      </c>
    </row>
    <row r="78" spans="2:28" ht="18" customHeight="1">
      <c r="B78" s="582">
        <v>14</v>
      </c>
      <c r="C78" s="585" t="s">
        <v>30</v>
      </c>
      <c r="D78" s="585" t="s">
        <v>101</v>
      </c>
      <c r="E78" s="582" t="s">
        <v>33</v>
      </c>
      <c r="F78" s="582" t="s">
        <v>56</v>
      </c>
      <c r="G78" s="582">
        <v>150</v>
      </c>
      <c r="H78" s="206" t="s">
        <v>33</v>
      </c>
      <c r="I78" s="206" t="s">
        <v>175</v>
      </c>
      <c r="J78" s="197">
        <f>'KH Solar Plan'!AF30</f>
        <v>0</v>
      </c>
      <c r="K78" s="197">
        <f>'KH Solar Plan'!AG30</f>
        <v>0</v>
      </c>
      <c r="L78" s="198">
        <f>'KH Solar Plan'!AH30</f>
        <v>0</v>
      </c>
      <c r="M78" s="197">
        <f>'KH Solar Plan'!AI30</f>
        <v>0</v>
      </c>
      <c r="N78" s="197">
        <f>'KH Solar Plan'!AJ30</f>
        <v>0</v>
      </c>
      <c r="O78" s="197">
        <f>'KH Solar Plan'!AK30</f>
        <v>0</v>
      </c>
      <c r="P78" s="197">
        <f>'KH Solar Plan'!AL30</f>
        <v>0</v>
      </c>
      <c r="Q78" s="197">
        <f>'KH Solar Plan'!AM30</f>
        <v>150</v>
      </c>
      <c r="R78" s="197">
        <f>'KH Solar Plan'!AN30</f>
        <v>0</v>
      </c>
      <c r="S78" s="197">
        <f>'KH Solar Plan'!AO30</f>
        <v>0</v>
      </c>
      <c r="T78" s="197">
        <f>'KH Solar Plan'!AP30</f>
        <v>0</v>
      </c>
      <c r="U78" s="197">
        <f>'KH Solar Plan'!AQ30</f>
        <v>0</v>
      </c>
      <c r="V78" s="194">
        <f t="shared" si="77"/>
        <v>150</v>
      </c>
      <c r="W78" s="194">
        <f t="shared" ca="1" si="83"/>
        <v>150</v>
      </c>
      <c r="Y78" s="197">
        <f t="shared" ca="1" si="79"/>
        <v>0</v>
      </c>
      <c r="Z78" s="197">
        <f t="shared" ca="1" si="80"/>
        <v>0</v>
      </c>
      <c r="AA78" s="197">
        <f t="shared" ca="1" si="81"/>
        <v>150</v>
      </c>
      <c r="AB78" s="197">
        <f t="shared" ca="1" si="82"/>
        <v>0</v>
      </c>
    </row>
    <row r="79" spans="2:28" ht="18" customHeight="1">
      <c r="B79" s="583">
        <v>14</v>
      </c>
      <c r="C79" s="586" t="s">
        <v>30</v>
      </c>
      <c r="D79" s="588" t="s">
        <v>101</v>
      </c>
      <c r="E79" s="590" t="s">
        <v>33</v>
      </c>
      <c r="F79" s="590" t="s">
        <v>56</v>
      </c>
      <c r="G79" s="590"/>
      <c r="H79" s="207" t="s">
        <v>33</v>
      </c>
      <c r="I79" s="207" t="s">
        <v>176</v>
      </c>
      <c r="J79" s="199">
        <f>'KH Solar Rephase'!AE21</f>
        <v>0</v>
      </c>
      <c r="K79" s="199">
        <f>'KH Solar Rephase'!AF21</f>
        <v>0</v>
      </c>
      <c r="L79" s="200">
        <f>'KH Solar Rephase'!AG21</f>
        <v>0</v>
      </c>
      <c r="M79" s="199">
        <f>'KH Solar Rephase'!AH21</f>
        <v>0</v>
      </c>
      <c r="N79" s="199">
        <f>'KH Solar Rephase'!AI21</f>
        <v>0</v>
      </c>
      <c r="O79" s="199">
        <f>'KH Solar Rephase'!AJ21</f>
        <v>0</v>
      </c>
      <c r="P79" s="199">
        <f>'KH Solar Rephase'!AK21</f>
        <v>0</v>
      </c>
      <c r="Q79" s="199">
        <f>'KH Solar Rephase'!AL21</f>
        <v>0</v>
      </c>
      <c r="R79" s="199">
        <f>'KH Solar Rephase'!AM21</f>
        <v>0</v>
      </c>
      <c r="S79" s="199">
        <f>'KH Solar Rephase'!AN21</f>
        <v>50</v>
      </c>
      <c r="T79" s="199">
        <f>'KH Solar Rephase'!AO21</f>
        <v>100</v>
      </c>
      <c r="U79" s="199">
        <f>'KH Solar Rephase'!AP21</f>
        <v>0</v>
      </c>
      <c r="V79" s="195">
        <f t="shared" si="77"/>
        <v>150</v>
      </c>
      <c r="W79" s="195">
        <f t="shared" ca="1" si="83"/>
        <v>0</v>
      </c>
      <c r="Y79" s="199">
        <f t="shared" ca="1" si="79"/>
        <v>0</v>
      </c>
      <c r="Z79" s="199">
        <f t="shared" ca="1" si="80"/>
        <v>0</v>
      </c>
      <c r="AA79" s="199">
        <f t="shared" ca="1" si="81"/>
        <v>0</v>
      </c>
      <c r="AB79" s="199">
        <f t="shared" ca="1" si="82"/>
        <v>150</v>
      </c>
    </row>
    <row r="80" spans="2:28" ht="18" customHeight="1">
      <c r="B80" s="584">
        <v>14</v>
      </c>
      <c r="C80" s="587" t="s">
        <v>30</v>
      </c>
      <c r="D80" s="589" t="s">
        <v>101</v>
      </c>
      <c r="E80" s="591" t="s">
        <v>33</v>
      </c>
      <c r="F80" s="591" t="s">
        <v>56</v>
      </c>
      <c r="G80" s="591"/>
      <c r="H80" s="207" t="s">
        <v>33</v>
      </c>
      <c r="I80" s="207" t="s">
        <v>177</v>
      </c>
      <c r="J80" s="199">
        <f>'KH Solar Actual'!O20</f>
        <v>0</v>
      </c>
      <c r="K80" s="199">
        <f>'KH Solar Actual'!P20</f>
        <v>0</v>
      </c>
      <c r="L80" s="200">
        <f>'KH Solar Actual'!Q20</f>
        <v>0</v>
      </c>
      <c r="M80" s="199">
        <f>'KH Solar Actual'!R20</f>
        <v>0</v>
      </c>
      <c r="N80" s="199">
        <f>'KH Solar Actual'!S20</f>
        <v>0</v>
      </c>
      <c r="O80" s="199">
        <f>'KH Solar Actual'!T20</f>
        <v>0</v>
      </c>
      <c r="P80" s="199">
        <f>'KH Solar Actual'!U20</f>
        <v>0</v>
      </c>
      <c r="Q80" s="199">
        <f>'KH Solar Actual'!V20</f>
        <v>0</v>
      </c>
      <c r="R80" s="199">
        <f>'KH Solar Actual'!W20</f>
        <v>0</v>
      </c>
      <c r="S80" s="199">
        <f>'KH Solar Actual'!X20</f>
        <v>75</v>
      </c>
      <c r="T80" s="199">
        <f>'KH Solar Actual'!Y20</f>
        <v>75</v>
      </c>
      <c r="U80" s="199">
        <f>'KH Solar Actual'!Z20</f>
        <v>0</v>
      </c>
      <c r="V80" s="195">
        <f t="shared" si="77"/>
        <v>150</v>
      </c>
      <c r="W80" s="195">
        <f t="shared" ca="1" si="83"/>
        <v>0</v>
      </c>
      <c r="Y80" s="199">
        <f t="shared" ca="1" si="79"/>
        <v>0</v>
      </c>
      <c r="Z80" s="199">
        <f t="shared" ca="1" si="80"/>
        <v>0</v>
      </c>
      <c r="AA80" s="199">
        <f t="shared" ca="1" si="81"/>
        <v>0</v>
      </c>
      <c r="AB80" s="199">
        <f t="shared" ca="1" si="82"/>
        <v>150</v>
      </c>
    </row>
    <row r="81" spans="2:28" ht="18" customHeight="1">
      <c r="B81" s="582">
        <v>15</v>
      </c>
      <c r="C81" s="585" t="s">
        <v>105</v>
      </c>
      <c r="D81" s="585" t="s">
        <v>106</v>
      </c>
      <c r="E81" s="582" t="s">
        <v>62</v>
      </c>
      <c r="F81" s="582" t="s">
        <v>107</v>
      </c>
      <c r="G81" s="582">
        <v>125</v>
      </c>
      <c r="H81" s="206" t="s">
        <v>62</v>
      </c>
      <c r="I81" s="206" t="s">
        <v>175</v>
      </c>
      <c r="J81" s="197">
        <f>'KH Solar Plan'!AF31</f>
        <v>0</v>
      </c>
      <c r="K81" s="197">
        <f>'KH Solar Plan'!AG31</f>
        <v>0</v>
      </c>
      <c r="L81" s="198">
        <f>'KH Solar Plan'!AH31</f>
        <v>125</v>
      </c>
      <c r="M81" s="197">
        <f>'KH Solar Plan'!AI31</f>
        <v>0</v>
      </c>
      <c r="N81" s="197">
        <f>'KH Solar Plan'!AJ31</f>
        <v>0</v>
      </c>
      <c r="O81" s="197">
        <f>'KH Solar Plan'!AK31</f>
        <v>0</v>
      </c>
      <c r="P81" s="197">
        <f>'KH Solar Plan'!AL31</f>
        <v>0</v>
      </c>
      <c r="Q81" s="197">
        <f>'KH Solar Plan'!AM31</f>
        <v>0</v>
      </c>
      <c r="R81" s="197">
        <f>'KH Solar Plan'!AN31</f>
        <v>0</v>
      </c>
      <c r="S81" s="197">
        <f>'KH Solar Plan'!AO31</f>
        <v>0</v>
      </c>
      <c r="T81" s="197">
        <f>'KH Solar Plan'!AP31</f>
        <v>0</v>
      </c>
      <c r="U81" s="197">
        <f>'KH Solar Plan'!AQ31</f>
        <v>0</v>
      </c>
      <c r="V81" s="194">
        <f t="shared" si="77"/>
        <v>125</v>
      </c>
      <c r="W81" s="194">
        <f t="shared" ca="1" si="83"/>
        <v>125</v>
      </c>
      <c r="Y81" s="197">
        <f t="shared" ca="1" si="79"/>
        <v>125</v>
      </c>
      <c r="Z81" s="197">
        <f t="shared" ca="1" si="80"/>
        <v>0</v>
      </c>
      <c r="AA81" s="197">
        <f t="shared" ca="1" si="81"/>
        <v>0</v>
      </c>
      <c r="AB81" s="197">
        <f t="shared" ca="1" si="82"/>
        <v>0</v>
      </c>
    </row>
    <row r="82" spans="2:28" ht="18" customHeight="1">
      <c r="B82" s="583">
        <v>15</v>
      </c>
      <c r="C82" s="586" t="s">
        <v>105</v>
      </c>
      <c r="D82" s="588" t="s">
        <v>106</v>
      </c>
      <c r="E82" s="590" t="s">
        <v>62</v>
      </c>
      <c r="F82" s="590" t="s">
        <v>107</v>
      </c>
      <c r="G82" s="590"/>
      <c r="H82" s="207" t="s">
        <v>62</v>
      </c>
      <c r="I82" s="207" t="s">
        <v>176</v>
      </c>
      <c r="J82" s="199">
        <f>'KH Solar Rephase'!AE22</f>
        <v>0</v>
      </c>
      <c r="K82" s="199">
        <f>'KH Solar Rephase'!AF22</f>
        <v>0</v>
      </c>
      <c r="L82" s="200">
        <f>'KH Solar Rephase'!AG22</f>
        <v>0</v>
      </c>
      <c r="M82" s="199">
        <f>'KH Solar Rephase'!AH22</f>
        <v>0</v>
      </c>
      <c r="N82" s="199">
        <f>'KH Solar Rephase'!AI22</f>
        <v>75</v>
      </c>
      <c r="O82" s="199">
        <f>'KH Solar Rephase'!AJ22</f>
        <v>0</v>
      </c>
      <c r="P82" s="199">
        <f>'KH Solar Rephase'!AK22</f>
        <v>50</v>
      </c>
      <c r="Q82" s="199">
        <f>'KH Solar Rephase'!AL22</f>
        <v>0</v>
      </c>
      <c r="R82" s="199">
        <f>'KH Solar Rephase'!AM22</f>
        <v>0</v>
      </c>
      <c r="S82" s="199">
        <f>'KH Solar Rephase'!AN22</f>
        <v>0</v>
      </c>
      <c r="T82" s="199">
        <f>'KH Solar Rephase'!AO22</f>
        <v>0</v>
      </c>
      <c r="U82" s="199">
        <f>'KH Solar Rephase'!AP22</f>
        <v>0</v>
      </c>
      <c r="V82" s="195">
        <f t="shared" si="77"/>
        <v>125</v>
      </c>
      <c r="W82" s="195">
        <f t="shared" ca="1" si="83"/>
        <v>125</v>
      </c>
      <c r="Y82" s="199">
        <f t="shared" ca="1" si="79"/>
        <v>0</v>
      </c>
      <c r="Z82" s="199">
        <f t="shared" ca="1" si="80"/>
        <v>75</v>
      </c>
      <c r="AA82" s="199">
        <f t="shared" ca="1" si="81"/>
        <v>50</v>
      </c>
      <c r="AB82" s="199">
        <f t="shared" ca="1" si="82"/>
        <v>0</v>
      </c>
    </row>
    <row r="83" spans="2:28" ht="18" customHeight="1">
      <c r="B83" s="584">
        <v>15</v>
      </c>
      <c r="C83" s="587" t="s">
        <v>105</v>
      </c>
      <c r="D83" s="589" t="s">
        <v>106</v>
      </c>
      <c r="E83" s="591" t="s">
        <v>62</v>
      </c>
      <c r="F83" s="591" t="s">
        <v>107</v>
      </c>
      <c r="G83" s="591"/>
      <c r="H83" s="207" t="s">
        <v>62</v>
      </c>
      <c r="I83" s="207" t="s">
        <v>177</v>
      </c>
      <c r="J83" s="199">
        <f>'KH Solar Actual'!O21</f>
        <v>0</v>
      </c>
      <c r="K83" s="199">
        <f>'KH Solar Actual'!P21</f>
        <v>0</v>
      </c>
      <c r="L83" s="200">
        <f>'KH Solar Actual'!Q21</f>
        <v>0</v>
      </c>
      <c r="M83" s="199">
        <f>'KH Solar Actual'!R21</f>
        <v>0</v>
      </c>
      <c r="N83" s="199">
        <f>'KH Solar Actual'!S21</f>
        <v>0</v>
      </c>
      <c r="O83" s="199">
        <f>'KH Solar Actual'!T21</f>
        <v>50</v>
      </c>
      <c r="P83" s="199">
        <f>'KH Solar Actual'!U21</f>
        <v>0</v>
      </c>
      <c r="Q83" s="199">
        <f>'KH Solar Actual'!V21</f>
        <v>0</v>
      </c>
      <c r="R83" s="199">
        <f>'KH Solar Actual'!W21</f>
        <v>75</v>
      </c>
      <c r="S83" s="199">
        <f>'KH Solar Actual'!X21</f>
        <v>0</v>
      </c>
      <c r="T83" s="199">
        <f>'KH Solar Actual'!Y21</f>
        <v>0</v>
      </c>
      <c r="U83" s="199">
        <f>'KH Solar Actual'!Z21</f>
        <v>0</v>
      </c>
      <c r="V83" s="195">
        <f t="shared" si="77"/>
        <v>125</v>
      </c>
      <c r="W83" s="195">
        <f t="shared" ca="1" si="83"/>
        <v>50</v>
      </c>
      <c r="Y83" s="199">
        <f t="shared" ca="1" si="79"/>
        <v>0</v>
      </c>
      <c r="Z83" s="199">
        <f t="shared" ca="1" si="80"/>
        <v>50</v>
      </c>
      <c r="AA83" s="199">
        <f t="shared" ca="1" si="81"/>
        <v>75</v>
      </c>
      <c r="AB83" s="199">
        <f t="shared" ca="1" si="82"/>
        <v>0</v>
      </c>
    </row>
    <row r="84" spans="2:28" ht="18" customHeight="1">
      <c r="B84" s="582">
        <v>16</v>
      </c>
      <c r="C84" s="585" t="s">
        <v>57</v>
      </c>
      <c r="D84" s="585" t="s">
        <v>111</v>
      </c>
      <c r="E84" s="582" t="s">
        <v>44</v>
      </c>
      <c r="F84" s="582" t="s">
        <v>71</v>
      </c>
      <c r="G84" s="582">
        <v>75</v>
      </c>
      <c r="H84" s="206" t="s">
        <v>44</v>
      </c>
      <c r="I84" s="206" t="s">
        <v>175</v>
      </c>
      <c r="J84" s="197">
        <f>'KH Solar Plan'!AF32</f>
        <v>0</v>
      </c>
      <c r="K84" s="197">
        <f>'KH Solar Plan'!AG32</f>
        <v>0</v>
      </c>
      <c r="L84" s="198">
        <f>'KH Solar Plan'!AH32</f>
        <v>0</v>
      </c>
      <c r="M84" s="197">
        <f>'KH Solar Plan'!AI32</f>
        <v>0</v>
      </c>
      <c r="N84" s="197">
        <f>'KH Solar Plan'!AJ32</f>
        <v>0</v>
      </c>
      <c r="O84" s="197">
        <f>'KH Solar Plan'!AK32</f>
        <v>0</v>
      </c>
      <c r="P84" s="197">
        <f>'KH Solar Plan'!AL32</f>
        <v>0</v>
      </c>
      <c r="Q84" s="197">
        <f>'KH Solar Plan'!AM32</f>
        <v>75</v>
      </c>
      <c r="R84" s="197">
        <f>'KH Solar Plan'!AN32</f>
        <v>0</v>
      </c>
      <c r="S84" s="197">
        <f>'KH Solar Plan'!AO32</f>
        <v>0</v>
      </c>
      <c r="T84" s="197">
        <f>'KH Solar Plan'!AP32</f>
        <v>0</v>
      </c>
      <c r="U84" s="197">
        <f>'KH Solar Plan'!AQ32</f>
        <v>0</v>
      </c>
      <c r="V84" s="194">
        <f t="shared" si="77"/>
        <v>75</v>
      </c>
      <c r="W84" s="194">
        <f t="shared" ca="1" si="83"/>
        <v>75</v>
      </c>
      <c r="Y84" s="197">
        <f t="shared" ca="1" si="79"/>
        <v>0</v>
      </c>
      <c r="Z84" s="197">
        <f t="shared" ca="1" si="80"/>
        <v>0</v>
      </c>
      <c r="AA84" s="197">
        <f t="shared" ca="1" si="81"/>
        <v>75</v>
      </c>
      <c r="AB84" s="197">
        <f t="shared" ca="1" si="82"/>
        <v>0</v>
      </c>
    </row>
    <row r="85" spans="2:28" ht="18" customHeight="1">
      <c r="B85" s="583">
        <v>16</v>
      </c>
      <c r="C85" s="586" t="s">
        <v>57</v>
      </c>
      <c r="D85" s="588" t="s">
        <v>111</v>
      </c>
      <c r="E85" s="590" t="s">
        <v>44</v>
      </c>
      <c r="F85" s="590" t="s">
        <v>71</v>
      </c>
      <c r="G85" s="590"/>
      <c r="H85" s="207" t="s">
        <v>44</v>
      </c>
      <c r="I85" s="207" t="s">
        <v>176</v>
      </c>
      <c r="J85" s="199">
        <f>'KH Solar Rephase'!AE23</f>
        <v>0</v>
      </c>
      <c r="K85" s="199">
        <f>'KH Solar Rephase'!AF23</f>
        <v>0</v>
      </c>
      <c r="L85" s="200">
        <f>'KH Solar Rephase'!AG23</f>
        <v>0</v>
      </c>
      <c r="M85" s="199">
        <f>'KH Solar Rephase'!AH23</f>
        <v>0</v>
      </c>
      <c r="N85" s="199">
        <f>'KH Solar Rephase'!AI23</f>
        <v>75</v>
      </c>
      <c r="O85" s="199">
        <f>'KH Solar Rephase'!AJ23</f>
        <v>0</v>
      </c>
      <c r="P85" s="199">
        <f>'KH Solar Rephase'!AK23</f>
        <v>0</v>
      </c>
      <c r="Q85" s="199">
        <f>'KH Solar Rephase'!AL23</f>
        <v>0</v>
      </c>
      <c r="R85" s="199">
        <f>'KH Solar Rephase'!AM23</f>
        <v>0</v>
      </c>
      <c r="S85" s="199">
        <f>'KH Solar Rephase'!AN23</f>
        <v>0</v>
      </c>
      <c r="T85" s="199">
        <f>'KH Solar Rephase'!AO23</f>
        <v>0</v>
      </c>
      <c r="U85" s="199">
        <f>'KH Solar Rephase'!AP23</f>
        <v>0</v>
      </c>
      <c r="V85" s="195">
        <f t="shared" si="77"/>
        <v>75</v>
      </c>
      <c r="W85" s="195">
        <f t="shared" ca="1" si="83"/>
        <v>75</v>
      </c>
      <c r="Y85" s="199">
        <f t="shared" ca="1" si="79"/>
        <v>0</v>
      </c>
      <c r="Z85" s="199">
        <f t="shared" ca="1" si="80"/>
        <v>75</v>
      </c>
      <c r="AA85" s="199">
        <f t="shared" ca="1" si="81"/>
        <v>0</v>
      </c>
      <c r="AB85" s="199">
        <f t="shared" ca="1" si="82"/>
        <v>0</v>
      </c>
    </row>
    <row r="86" spans="2:28" ht="18" customHeight="1">
      <c r="B86" s="584">
        <v>16</v>
      </c>
      <c r="C86" s="587" t="s">
        <v>57</v>
      </c>
      <c r="D86" s="589" t="s">
        <v>111</v>
      </c>
      <c r="E86" s="591" t="s">
        <v>44</v>
      </c>
      <c r="F86" s="591" t="s">
        <v>71</v>
      </c>
      <c r="G86" s="591"/>
      <c r="H86" s="207" t="s">
        <v>44</v>
      </c>
      <c r="I86" s="207" t="s">
        <v>177</v>
      </c>
      <c r="J86" s="199">
        <f>'KH Solar Actual'!O22</f>
        <v>0</v>
      </c>
      <c r="K86" s="199">
        <f>'KH Solar Actual'!P22</f>
        <v>0</v>
      </c>
      <c r="L86" s="200">
        <f>'KH Solar Actual'!Q22</f>
        <v>0</v>
      </c>
      <c r="M86" s="199">
        <f>'KH Solar Actual'!R22</f>
        <v>0</v>
      </c>
      <c r="N86" s="199">
        <f>'KH Solar Actual'!S22</f>
        <v>0</v>
      </c>
      <c r="O86" s="199">
        <f>'KH Solar Actual'!T22</f>
        <v>0</v>
      </c>
      <c r="P86" s="199">
        <f>'KH Solar Actual'!U22</f>
        <v>0</v>
      </c>
      <c r="Q86" s="199">
        <f>'KH Solar Actual'!V22</f>
        <v>0</v>
      </c>
      <c r="R86" s="199">
        <f>'KH Solar Actual'!W22</f>
        <v>75</v>
      </c>
      <c r="S86" s="199">
        <f>'KH Solar Actual'!X22</f>
        <v>0</v>
      </c>
      <c r="T86" s="199">
        <f>'KH Solar Actual'!Y22</f>
        <v>0</v>
      </c>
      <c r="U86" s="199">
        <f>'KH Solar Actual'!Z22</f>
        <v>0</v>
      </c>
      <c r="V86" s="195">
        <f t="shared" si="77"/>
        <v>75</v>
      </c>
      <c r="W86" s="195">
        <f t="shared" ca="1" si="83"/>
        <v>0</v>
      </c>
      <c r="Y86" s="199">
        <f t="shared" ca="1" si="79"/>
        <v>0</v>
      </c>
      <c r="Z86" s="199">
        <f t="shared" ca="1" si="80"/>
        <v>0</v>
      </c>
      <c r="AA86" s="199">
        <f t="shared" ca="1" si="81"/>
        <v>75</v>
      </c>
      <c r="AB86" s="199">
        <f t="shared" ca="1" si="82"/>
        <v>0</v>
      </c>
    </row>
    <row r="87" spans="2:28" ht="18" customHeight="1">
      <c r="B87" s="582">
        <v>17</v>
      </c>
      <c r="C87" s="585" t="s">
        <v>115</v>
      </c>
      <c r="D87" s="585" t="s">
        <v>116</v>
      </c>
      <c r="E87" s="582" t="s">
        <v>44</v>
      </c>
      <c r="F87" s="582" t="s">
        <v>117</v>
      </c>
      <c r="G87" s="582">
        <v>50</v>
      </c>
      <c r="H87" s="206" t="s">
        <v>44</v>
      </c>
      <c r="I87" s="206" t="s">
        <v>175</v>
      </c>
      <c r="J87" s="197">
        <f>'KH Solar Plan'!AF33</f>
        <v>0</v>
      </c>
      <c r="K87" s="197">
        <f>'KH Solar Plan'!AG33</f>
        <v>0</v>
      </c>
      <c r="L87" s="198">
        <f>'KH Solar Plan'!AH33</f>
        <v>0</v>
      </c>
      <c r="M87" s="197">
        <f>'KH Solar Plan'!AI33</f>
        <v>0</v>
      </c>
      <c r="N87" s="197">
        <f>'KH Solar Plan'!AJ33</f>
        <v>0</v>
      </c>
      <c r="O87" s="197">
        <f>'KH Solar Plan'!AK33</f>
        <v>50</v>
      </c>
      <c r="P87" s="197">
        <f>'KH Solar Plan'!AL33</f>
        <v>0</v>
      </c>
      <c r="Q87" s="197">
        <f>'KH Solar Plan'!AM33</f>
        <v>0</v>
      </c>
      <c r="R87" s="197">
        <f>'KH Solar Plan'!AN33</f>
        <v>0</v>
      </c>
      <c r="S87" s="197">
        <f>'KH Solar Plan'!AO33</f>
        <v>0</v>
      </c>
      <c r="T87" s="197">
        <f>'KH Solar Plan'!AP33</f>
        <v>0</v>
      </c>
      <c r="U87" s="197">
        <f>'KH Solar Plan'!AQ33</f>
        <v>0</v>
      </c>
      <c r="V87" s="194">
        <f t="shared" si="77"/>
        <v>50</v>
      </c>
      <c r="W87" s="194">
        <f t="shared" ca="1" si="83"/>
        <v>50</v>
      </c>
      <c r="Y87" s="197">
        <f t="shared" ca="1" si="79"/>
        <v>0</v>
      </c>
      <c r="Z87" s="197">
        <f t="shared" ca="1" si="80"/>
        <v>50</v>
      </c>
      <c r="AA87" s="197">
        <f t="shared" ca="1" si="81"/>
        <v>0</v>
      </c>
      <c r="AB87" s="197">
        <f t="shared" ca="1" si="82"/>
        <v>0</v>
      </c>
    </row>
    <row r="88" spans="2:28" ht="18" customHeight="1">
      <c r="B88" s="583">
        <v>17</v>
      </c>
      <c r="C88" s="586" t="s">
        <v>115</v>
      </c>
      <c r="D88" s="588" t="s">
        <v>116</v>
      </c>
      <c r="E88" s="590" t="s">
        <v>44</v>
      </c>
      <c r="F88" s="590" t="s">
        <v>117</v>
      </c>
      <c r="G88" s="590"/>
      <c r="H88" s="207" t="s">
        <v>44</v>
      </c>
      <c r="I88" s="207" t="s">
        <v>176</v>
      </c>
      <c r="J88" s="199">
        <f>'KH Solar Rephase'!AE24</f>
        <v>0</v>
      </c>
      <c r="K88" s="199">
        <f>'KH Solar Rephase'!AF24</f>
        <v>0</v>
      </c>
      <c r="L88" s="200">
        <f>'KH Solar Rephase'!AG24</f>
        <v>0</v>
      </c>
      <c r="M88" s="199">
        <f>'KH Solar Rephase'!AH24</f>
        <v>0</v>
      </c>
      <c r="N88" s="199">
        <f>'KH Solar Rephase'!AI24</f>
        <v>0</v>
      </c>
      <c r="O88" s="199">
        <f>'KH Solar Rephase'!AJ24</f>
        <v>0</v>
      </c>
      <c r="P88" s="199">
        <f>'KH Solar Rephase'!AK24</f>
        <v>0</v>
      </c>
      <c r="Q88" s="199">
        <f>'KH Solar Rephase'!AL24</f>
        <v>0</v>
      </c>
      <c r="R88" s="199">
        <f>'KH Solar Rephase'!AM24</f>
        <v>50</v>
      </c>
      <c r="S88" s="199">
        <f>'KH Solar Rephase'!AN24</f>
        <v>0</v>
      </c>
      <c r="T88" s="199">
        <f>'KH Solar Rephase'!AO24</f>
        <v>0</v>
      </c>
      <c r="U88" s="199">
        <f>'KH Solar Rephase'!AP24</f>
        <v>0</v>
      </c>
      <c r="V88" s="195">
        <f t="shared" si="77"/>
        <v>50</v>
      </c>
      <c r="W88" s="195">
        <f t="shared" ca="1" si="83"/>
        <v>0</v>
      </c>
      <c r="Y88" s="199">
        <f t="shared" ca="1" si="79"/>
        <v>0</v>
      </c>
      <c r="Z88" s="199">
        <f t="shared" ca="1" si="80"/>
        <v>0</v>
      </c>
      <c r="AA88" s="199">
        <f t="shared" ca="1" si="81"/>
        <v>50</v>
      </c>
      <c r="AB88" s="199">
        <f t="shared" ca="1" si="82"/>
        <v>0</v>
      </c>
    </row>
    <row r="89" spans="2:28" ht="18" customHeight="1">
      <c r="B89" s="584">
        <v>17</v>
      </c>
      <c r="C89" s="587" t="s">
        <v>115</v>
      </c>
      <c r="D89" s="589" t="s">
        <v>116</v>
      </c>
      <c r="E89" s="591" t="s">
        <v>44</v>
      </c>
      <c r="F89" s="591" t="s">
        <v>117</v>
      </c>
      <c r="G89" s="591"/>
      <c r="H89" s="207" t="s">
        <v>44</v>
      </c>
      <c r="I89" s="207" t="s">
        <v>177</v>
      </c>
      <c r="J89" s="199">
        <f>'KH Solar Actual'!O23</f>
        <v>0</v>
      </c>
      <c r="K89" s="199">
        <f>'KH Solar Actual'!P23</f>
        <v>0</v>
      </c>
      <c r="L89" s="200">
        <f>'KH Solar Actual'!Q23</f>
        <v>0</v>
      </c>
      <c r="M89" s="199">
        <f>'KH Solar Actual'!R23</f>
        <v>0</v>
      </c>
      <c r="N89" s="199">
        <f>'KH Solar Actual'!S23</f>
        <v>0</v>
      </c>
      <c r="O89" s="199">
        <f>'KH Solar Actual'!T23</f>
        <v>0</v>
      </c>
      <c r="P89" s="199">
        <f>'KH Solar Actual'!U23</f>
        <v>0</v>
      </c>
      <c r="Q89" s="199">
        <f>'KH Solar Actual'!V23</f>
        <v>0</v>
      </c>
      <c r="R89" s="199">
        <f>'KH Solar Actual'!W23</f>
        <v>0</v>
      </c>
      <c r="S89" s="199">
        <f>'KH Solar Actual'!X23</f>
        <v>50</v>
      </c>
      <c r="T89" s="199">
        <f>'KH Solar Actual'!Y23</f>
        <v>0</v>
      </c>
      <c r="U89" s="199">
        <f>'KH Solar Actual'!Z23</f>
        <v>0</v>
      </c>
      <c r="V89" s="195">
        <f t="shared" si="77"/>
        <v>50</v>
      </c>
      <c r="W89" s="195">
        <f t="shared" ca="1" si="83"/>
        <v>0</v>
      </c>
      <c r="Y89" s="199">
        <f t="shared" ca="1" si="79"/>
        <v>0</v>
      </c>
      <c r="Z89" s="199">
        <f t="shared" ca="1" si="80"/>
        <v>0</v>
      </c>
      <c r="AA89" s="199">
        <f t="shared" ca="1" si="81"/>
        <v>0</v>
      </c>
      <c r="AB89" s="199">
        <f t="shared" ca="1" si="82"/>
        <v>50</v>
      </c>
    </row>
    <row r="90" spans="2:28" ht="18" customHeight="1">
      <c r="B90" s="582">
        <v>18</v>
      </c>
      <c r="C90" s="585" t="s">
        <v>123</v>
      </c>
      <c r="D90" s="585" t="s">
        <v>116</v>
      </c>
      <c r="E90" s="582" t="s">
        <v>44</v>
      </c>
      <c r="F90" s="582" t="s">
        <v>117</v>
      </c>
      <c r="G90" s="582">
        <v>200</v>
      </c>
      <c r="H90" s="206" t="s">
        <v>44</v>
      </c>
      <c r="I90" s="206" t="s">
        <v>175</v>
      </c>
      <c r="J90" s="197">
        <f>'KH Solar Plan'!AF34</f>
        <v>0</v>
      </c>
      <c r="K90" s="197">
        <f>'KH Solar Plan'!AG34</f>
        <v>0</v>
      </c>
      <c r="L90" s="198">
        <f>'KH Solar Plan'!AH34</f>
        <v>0</v>
      </c>
      <c r="M90" s="197">
        <f>'KH Solar Plan'!AI34</f>
        <v>0</v>
      </c>
      <c r="N90" s="197">
        <f>'KH Solar Plan'!AJ34</f>
        <v>0</v>
      </c>
      <c r="O90" s="197">
        <f>'KH Solar Plan'!AK34</f>
        <v>0</v>
      </c>
      <c r="P90" s="197">
        <f>'KH Solar Plan'!AL34</f>
        <v>200</v>
      </c>
      <c r="Q90" s="197">
        <f>'KH Solar Plan'!AM34</f>
        <v>0</v>
      </c>
      <c r="R90" s="197">
        <f>'KH Solar Plan'!AN34</f>
        <v>0</v>
      </c>
      <c r="S90" s="197">
        <f>'KH Solar Plan'!AO34</f>
        <v>0</v>
      </c>
      <c r="T90" s="197">
        <f>'KH Solar Plan'!AP34</f>
        <v>0</v>
      </c>
      <c r="U90" s="197">
        <f>'KH Solar Plan'!AQ34</f>
        <v>0</v>
      </c>
      <c r="V90" s="194">
        <f t="shared" si="77"/>
        <v>200</v>
      </c>
      <c r="W90" s="194">
        <f t="shared" ca="1" si="83"/>
        <v>200</v>
      </c>
      <c r="Y90" s="197">
        <f t="shared" ca="1" si="79"/>
        <v>0</v>
      </c>
      <c r="Z90" s="197">
        <f t="shared" ca="1" si="80"/>
        <v>0</v>
      </c>
      <c r="AA90" s="197">
        <f t="shared" ca="1" si="81"/>
        <v>200</v>
      </c>
      <c r="AB90" s="197">
        <f t="shared" ca="1" si="82"/>
        <v>0</v>
      </c>
    </row>
    <row r="91" spans="2:28" ht="18" customHeight="1">
      <c r="B91" s="583">
        <v>18</v>
      </c>
      <c r="C91" s="586" t="s">
        <v>123</v>
      </c>
      <c r="D91" s="588" t="s">
        <v>116</v>
      </c>
      <c r="E91" s="590" t="s">
        <v>44</v>
      </c>
      <c r="F91" s="590" t="s">
        <v>117</v>
      </c>
      <c r="G91" s="590"/>
      <c r="H91" s="207" t="s">
        <v>44</v>
      </c>
      <c r="I91" s="207" t="s">
        <v>176</v>
      </c>
      <c r="J91" s="199">
        <f>'KH Solar Rephase'!AE25</f>
        <v>0</v>
      </c>
      <c r="K91" s="199">
        <f>'KH Solar Rephase'!AF25</f>
        <v>0</v>
      </c>
      <c r="L91" s="200">
        <f>'KH Solar Rephase'!AG25</f>
        <v>0</v>
      </c>
      <c r="M91" s="199">
        <f>'KH Solar Rephase'!AH25</f>
        <v>0</v>
      </c>
      <c r="N91" s="199">
        <f>'KH Solar Rephase'!AI25</f>
        <v>0</v>
      </c>
      <c r="O91" s="199">
        <f>'KH Solar Rephase'!AJ25</f>
        <v>0</v>
      </c>
      <c r="P91" s="199">
        <f>'KH Solar Rephase'!AK25</f>
        <v>0</v>
      </c>
      <c r="Q91" s="199">
        <f>'KH Solar Rephase'!AL25</f>
        <v>0</v>
      </c>
      <c r="R91" s="199">
        <f>'KH Solar Rephase'!AM25</f>
        <v>50</v>
      </c>
      <c r="S91" s="199">
        <f>'KH Solar Rephase'!AN25</f>
        <v>100</v>
      </c>
      <c r="T91" s="199">
        <f>'KH Solar Rephase'!AO25</f>
        <v>50</v>
      </c>
      <c r="U91" s="199">
        <f>'KH Solar Rephase'!AP25</f>
        <v>0</v>
      </c>
      <c r="V91" s="195">
        <f t="shared" si="77"/>
        <v>200</v>
      </c>
      <c r="W91" s="195">
        <f t="shared" ca="1" si="83"/>
        <v>0</v>
      </c>
      <c r="Y91" s="199">
        <f t="shared" ca="1" si="79"/>
        <v>0</v>
      </c>
      <c r="Z91" s="199">
        <f t="shared" ca="1" si="80"/>
        <v>0</v>
      </c>
      <c r="AA91" s="199">
        <f t="shared" ca="1" si="81"/>
        <v>50</v>
      </c>
      <c r="AB91" s="199">
        <f t="shared" ca="1" si="82"/>
        <v>150</v>
      </c>
    </row>
    <row r="92" spans="2:28" ht="18" customHeight="1">
      <c r="B92" s="584">
        <v>18</v>
      </c>
      <c r="C92" s="587" t="s">
        <v>123</v>
      </c>
      <c r="D92" s="589" t="s">
        <v>116</v>
      </c>
      <c r="E92" s="591" t="s">
        <v>44</v>
      </c>
      <c r="F92" s="591" t="s">
        <v>117</v>
      </c>
      <c r="G92" s="591"/>
      <c r="H92" s="207" t="s">
        <v>44</v>
      </c>
      <c r="I92" s="207" t="s">
        <v>177</v>
      </c>
      <c r="J92" s="199">
        <f>'KH Solar Actual'!O24</f>
        <v>0</v>
      </c>
      <c r="K92" s="199">
        <f>'KH Solar Actual'!P24</f>
        <v>0</v>
      </c>
      <c r="L92" s="200">
        <f>'KH Solar Actual'!Q24</f>
        <v>0</v>
      </c>
      <c r="M92" s="199">
        <f>'KH Solar Actual'!R24</f>
        <v>0</v>
      </c>
      <c r="N92" s="199">
        <f>'KH Solar Actual'!S24</f>
        <v>0</v>
      </c>
      <c r="O92" s="199">
        <f>'KH Solar Actual'!T24</f>
        <v>0</v>
      </c>
      <c r="P92" s="199">
        <f>'KH Solar Actual'!U24</f>
        <v>0</v>
      </c>
      <c r="Q92" s="199">
        <f>'KH Solar Actual'!V24</f>
        <v>0</v>
      </c>
      <c r="R92" s="199">
        <f>'KH Solar Actual'!W24</f>
        <v>0</v>
      </c>
      <c r="S92" s="199">
        <f>'KH Solar Actual'!X24</f>
        <v>175</v>
      </c>
      <c r="T92" s="199">
        <f>'KH Solar Actual'!Y24</f>
        <v>25</v>
      </c>
      <c r="U92" s="199">
        <f>'KH Solar Actual'!Z24</f>
        <v>0</v>
      </c>
      <c r="V92" s="195">
        <f t="shared" si="77"/>
        <v>200</v>
      </c>
      <c r="W92" s="195">
        <f t="shared" ca="1" si="83"/>
        <v>0</v>
      </c>
      <c r="Y92" s="199">
        <f t="shared" ca="1" si="79"/>
        <v>0</v>
      </c>
      <c r="Z92" s="199">
        <f t="shared" ca="1" si="80"/>
        <v>0</v>
      </c>
      <c r="AA92" s="199">
        <f t="shared" ca="1" si="81"/>
        <v>0</v>
      </c>
      <c r="AB92" s="199">
        <f t="shared" ca="1" si="82"/>
        <v>200</v>
      </c>
    </row>
    <row r="93" spans="2:28" ht="18" customHeight="1">
      <c r="B93" s="582">
        <v>19</v>
      </c>
      <c r="C93" s="585" t="s">
        <v>125</v>
      </c>
      <c r="D93" s="585" t="s">
        <v>116</v>
      </c>
      <c r="E93" s="582" t="s">
        <v>44</v>
      </c>
      <c r="F93" s="582" t="s">
        <v>117</v>
      </c>
      <c r="G93" s="582">
        <v>167</v>
      </c>
      <c r="H93" s="206" t="s">
        <v>44</v>
      </c>
      <c r="I93" s="206" t="s">
        <v>175</v>
      </c>
      <c r="J93" s="197">
        <f>'KH Solar Plan'!AF35</f>
        <v>0</v>
      </c>
      <c r="K93" s="197">
        <f>'KH Solar Plan'!AG35</f>
        <v>0</v>
      </c>
      <c r="L93" s="198">
        <f>'KH Solar Plan'!AH35</f>
        <v>0</v>
      </c>
      <c r="M93" s="197">
        <f>'KH Solar Plan'!AI35</f>
        <v>0</v>
      </c>
      <c r="N93" s="197">
        <f>'KH Solar Plan'!AJ35</f>
        <v>0</v>
      </c>
      <c r="O93" s="197">
        <f>'KH Solar Plan'!AK35</f>
        <v>0</v>
      </c>
      <c r="P93" s="197">
        <f>'KH Solar Plan'!AL35</f>
        <v>167</v>
      </c>
      <c r="Q93" s="197">
        <f>'KH Solar Plan'!AM35</f>
        <v>0</v>
      </c>
      <c r="R93" s="197">
        <f>'KH Solar Plan'!AN35</f>
        <v>0</v>
      </c>
      <c r="S93" s="197">
        <f>'KH Solar Plan'!AO35</f>
        <v>0</v>
      </c>
      <c r="T93" s="197">
        <f>'KH Solar Plan'!AP35</f>
        <v>0</v>
      </c>
      <c r="U93" s="197">
        <f>'KH Solar Plan'!AQ35</f>
        <v>0</v>
      </c>
      <c r="V93" s="194">
        <f t="shared" si="77"/>
        <v>167</v>
      </c>
      <c r="W93" s="194">
        <f t="shared" ca="1" si="83"/>
        <v>167</v>
      </c>
      <c r="Y93" s="197">
        <f t="shared" ca="1" si="79"/>
        <v>0</v>
      </c>
      <c r="Z93" s="197">
        <f t="shared" ca="1" si="80"/>
        <v>0</v>
      </c>
      <c r="AA93" s="197">
        <f t="shared" ca="1" si="81"/>
        <v>167</v>
      </c>
      <c r="AB93" s="197">
        <f t="shared" ca="1" si="82"/>
        <v>0</v>
      </c>
    </row>
    <row r="94" spans="2:28" ht="18" customHeight="1">
      <c r="B94" s="583">
        <v>19</v>
      </c>
      <c r="C94" s="586" t="s">
        <v>125</v>
      </c>
      <c r="D94" s="588" t="s">
        <v>116</v>
      </c>
      <c r="E94" s="590" t="s">
        <v>44</v>
      </c>
      <c r="F94" s="590" t="s">
        <v>117</v>
      </c>
      <c r="G94" s="590"/>
      <c r="H94" s="207" t="s">
        <v>44</v>
      </c>
      <c r="I94" s="207" t="s">
        <v>176</v>
      </c>
      <c r="J94" s="199">
        <f>'KH Solar Rephase'!AE26</f>
        <v>0</v>
      </c>
      <c r="K94" s="199">
        <f>'KH Solar Rephase'!AF26</f>
        <v>0</v>
      </c>
      <c r="L94" s="200">
        <f>'KH Solar Rephase'!AG26</f>
        <v>0</v>
      </c>
      <c r="M94" s="199">
        <f>'KH Solar Rephase'!AH26</f>
        <v>0</v>
      </c>
      <c r="N94" s="199">
        <f>'KH Solar Rephase'!AI26</f>
        <v>0</v>
      </c>
      <c r="O94" s="199">
        <f>'KH Solar Rephase'!AJ26</f>
        <v>0</v>
      </c>
      <c r="P94" s="199">
        <f>'KH Solar Rephase'!AK26</f>
        <v>0</v>
      </c>
      <c r="Q94" s="199">
        <f>'KH Solar Rephase'!AL26</f>
        <v>0</v>
      </c>
      <c r="R94" s="199">
        <f>'KH Solar Rephase'!AM26</f>
        <v>50</v>
      </c>
      <c r="S94" s="199">
        <f>'KH Solar Rephase'!AN26</f>
        <v>117</v>
      </c>
      <c r="T94" s="199">
        <f>'KH Solar Rephase'!AO26</f>
        <v>0</v>
      </c>
      <c r="U94" s="199">
        <f>'KH Solar Rephase'!AP26</f>
        <v>0</v>
      </c>
      <c r="V94" s="195">
        <f t="shared" si="77"/>
        <v>167</v>
      </c>
      <c r="W94" s="195">
        <f t="shared" ca="1" si="83"/>
        <v>0</v>
      </c>
      <c r="Y94" s="199">
        <f t="shared" ca="1" si="79"/>
        <v>0</v>
      </c>
      <c r="Z94" s="199">
        <f t="shared" ca="1" si="80"/>
        <v>0</v>
      </c>
      <c r="AA94" s="199">
        <f t="shared" ca="1" si="81"/>
        <v>50</v>
      </c>
      <c r="AB94" s="199">
        <f t="shared" ca="1" si="82"/>
        <v>117</v>
      </c>
    </row>
    <row r="95" spans="2:28" ht="18" customHeight="1">
      <c r="B95" s="584">
        <v>19</v>
      </c>
      <c r="C95" s="587" t="s">
        <v>125</v>
      </c>
      <c r="D95" s="589" t="s">
        <v>116</v>
      </c>
      <c r="E95" s="591" t="s">
        <v>44</v>
      </c>
      <c r="F95" s="591" t="s">
        <v>117</v>
      </c>
      <c r="G95" s="591"/>
      <c r="H95" s="207" t="s">
        <v>44</v>
      </c>
      <c r="I95" s="207" t="s">
        <v>177</v>
      </c>
      <c r="J95" s="199">
        <f>'KH Solar Actual'!O25</f>
        <v>0</v>
      </c>
      <c r="K95" s="199">
        <f>'KH Solar Actual'!P25</f>
        <v>0</v>
      </c>
      <c r="L95" s="200">
        <f>'KH Solar Actual'!Q25</f>
        <v>0</v>
      </c>
      <c r="M95" s="199">
        <f>'KH Solar Actual'!R25</f>
        <v>0</v>
      </c>
      <c r="N95" s="199">
        <f>'KH Solar Actual'!S25</f>
        <v>0</v>
      </c>
      <c r="O95" s="199">
        <f>'KH Solar Actual'!T25</f>
        <v>0</v>
      </c>
      <c r="P95" s="199">
        <f>'KH Solar Actual'!U25</f>
        <v>0</v>
      </c>
      <c r="Q95" s="199">
        <f>'KH Solar Actual'!V25</f>
        <v>0</v>
      </c>
      <c r="R95" s="199">
        <f>'KH Solar Actual'!W25</f>
        <v>0</v>
      </c>
      <c r="S95" s="199">
        <f>'KH Solar Actual'!X25</f>
        <v>100</v>
      </c>
      <c r="T95" s="199">
        <f>'KH Solar Actual'!Y25</f>
        <v>67</v>
      </c>
      <c r="U95" s="199">
        <f>'KH Solar Actual'!Z25</f>
        <v>0</v>
      </c>
      <c r="V95" s="195">
        <f t="shared" si="77"/>
        <v>167</v>
      </c>
      <c r="W95" s="195">
        <f t="shared" ca="1" si="83"/>
        <v>0</v>
      </c>
      <c r="Y95" s="199">
        <f t="shared" ca="1" si="79"/>
        <v>0</v>
      </c>
      <c r="Z95" s="199">
        <f t="shared" ca="1" si="80"/>
        <v>0</v>
      </c>
      <c r="AA95" s="199">
        <f t="shared" ca="1" si="81"/>
        <v>0</v>
      </c>
      <c r="AB95" s="199">
        <f t="shared" ca="1" si="82"/>
        <v>167</v>
      </c>
    </row>
    <row r="96" spans="2:28" ht="18" customHeight="1">
      <c r="B96" s="582">
        <v>20</v>
      </c>
      <c r="C96" s="585" t="s">
        <v>127</v>
      </c>
      <c r="D96" s="585" t="s">
        <v>116</v>
      </c>
      <c r="E96" s="582" t="s">
        <v>44</v>
      </c>
      <c r="F96" s="582" t="s">
        <v>117</v>
      </c>
      <c r="G96" s="582">
        <v>333</v>
      </c>
      <c r="H96" s="206" t="s">
        <v>44</v>
      </c>
      <c r="I96" s="206" t="s">
        <v>175</v>
      </c>
      <c r="J96" s="197">
        <f>'KH Solar Plan'!AF36</f>
        <v>0</v>
      </c>
      <c r="K96" s="197">
        <f>'KH Solar Plan'!AG36</f>
        <v>0</v>
      </c>
      <c r="L96" s="198">
        <f>'KH Solar Plan'!AH36</f>
        <v>0</v>
      </c>
      <c r="M96" s="197">
        <f>'KH Solar Plan'!AI36</f>
        <v>0</v>
      </c>
      <c r="N96" s="197">
        <f>'KH Solar Plan'!AJ36</f>
        <v>0</v>
      </c>
      <c r="O96" s="197">
        <f>'KH Solar Plan'!AK36</f>
        <v>333</v>
      </c>
      <c r="P96" s="197">
        <f>'KH Solar Plan'!AL36</f>
        <v>0</v>
      </c>
      <c r="Q96" s="197">
        <f>'KH Solar Plan'!AM36</f>
        <v>0</v>
      </c>
      <c r="R96" s="197">
        <f>'KH Solar Plan'!AN36</f>
        <v>0</v>
      </c>
      <c r="S96" s="197">
        <f>'KH Solar Plan'!AO36</f>
        <v>0</v>
      </c>
      <c r="T96" s="197">
        <f>'KH Solar Plan'!AP36</f>
        <v>0</v>
      </c>
      <c r="U96" s="197">
        <f>'KH Solar Plan'!AQ36</f>
        <v>0</v>
      </c>
      <c r="V96" s="194">
        <f t="shared" si="77"/>
        <v>333</v>
      </c>
      <c r="W96" s="194">
        <f t="shared" ca="1" si="83"/>
        <v>333</v>
      </c>
      <c r="Y96" s="197">
        <f t="shared" ca="1" si="79"/>
        <v>0</v>
      </c>
      <c r="Z96" s="197">
        <f t="shared" ca="1" si="80"/>
        <v>333</v>
      </c>
      <c r="AA96" s="197">
        <f t="shared" ca="1" si="81"/>
        <v>0</v>
      </c>
      <c r="AB96" s="197">
        <f t="shared" ca="1" si="82"/>
        <v>0</v>
      </c>
    </row>
    <row r="97" spans="2:28" ht="18" customHeight="1">
      <c r="B97" s="583">
        <v>20</v>
      </c>
      <c r="C97" s="586" t="s">
        <v>127</v>
      </c>
      <c r="D97" s="588" t="s">
        <v>116</v>
      </c>
      <c r="E97" s="590" t="s">
        <v>44</v>
      </c>
      <c r="F97" s="590" t="s">
        <v>117</v>
      </c>
      <c r="G97" s="590"/>
      <c r="H97" s="207" t="s">
        <v>44</v>
      </c>
      <c r="I97" s="207" t="s">
        <v>176</v>
      </c>
      <c r="J97" s="199">
        <f>'KH Solar Rephase'!AE27</f>
        <v>0</v>
      </c>
      <c r="K97" s="199">
        <f>'KH Solar Rephase'!AF27</f>
        <v>0</v>
      </c>
      <c r="L97" s="200">
        <f>'KH Solar Rephase'!AG27</f>
        <v>0</v>
      </c>
      <c r="M97" s="199">
        <f>'KH Solar Rephase'!AH27</f>
        <v>0</v>
      </c>
      <c r="N97" s="199">
        <f>'KH Solar Rephase'!AI27</f>
        <v>0</v>
      </c>
      <c r="O97" s="199">
        <f>'KH Solar Rephase'!AJ27</f>
        <v>0</v>
      </c>
      <c r="P97" s="199">
        <f>'KH Solar Rephase'!AK27</f>
        <v>0</v>
      </c>
      <c r="Q97" s="199">
        <f>'KH Solar Rephase'!AL27</f>
        <v>0</v>
      </c>
      <c r="R97" s="199">
        <f>'KH Solar Rephase'!AM27</f>
        <v>0</v>
      </c>
      <c r="S97" s="199">
        <f>'KH Solar Rephase'!AN27</f>
        <v>100</v>
      </c>
      <c r="T97" s="199">
        <f>'KH Solar Rephase'!AO27</f>
        <v>100</v>
      </c>
      <c r="U97" s="199">
        <f>'KH Solar Rephase'!AP27</f>
        <v>133</v>
      </c>
      <c r="V97" s="195">
        <f t="shared" si="77"/>
        <v>333</v>
      </c>
      <c r="W97" s="195">
        <f t="shared" ca="1" si="83"/>
        <v>0</v>
      </c>
      <c r="Y97" s="199">
        <f t="shared" ca="1" si="79"/>
        <v>0</v>
      </c>
      <c r="Z97" s="199">
        <f t="shared" ca="1" si="80"/>
        <v>0</v>
      </c>
      <c r="AA97" s="199">
        <f t="shared" ca="1" si="81"/>
        <v>0</v>
      </c>
      <c r="AB97" s="199">
        <f t="shared" ca="1" si="82"/>
        <v>333</v>
      </c>
    </row>
    <row r="98" spans="2:28" ht="18" customHeight="1">
      <c r="B98" s="584">
        <v>20</v>
      </c>
      <c r="C98" s="587" t="s">
        <v>127</v>
      </c>
      <c r="D98" s="589" t="s">
        <v>116</v>
      </c>
      <c r="E98" s="591" t="s">
        <v>44</v>
      </c>
      <c r="F98" s="591" t="s">
        <v>117</v>
      </c>
      <c r="G98" s="591"/>
      <c r="H98" s="207" t="s">
        <v>44</v>
      </c>
      <c r="I98" s="207" t="s">
        <v>177</v>
      </c>
      <c r="J98" s="199">
        <f>'KH Solar Actual'!O26</f>
        <v>0</v>
      </c>
      <c r="K98" s="199">
        <f>'KH Solar Actual'!P26</f>
        <v>0</v>
      </c>
      <c r="L98" s="200">
        <f>'KH Solar Actual'!Q26</f>
        <v>0</v>
      </c>
      <c r="M98" s="199">
        <f>'KH Solar Actual'!R26</f>
        <v>0</v>
      </c>
      <c r="N98" s="199">
        <f>'KH Solar Actual'!S26</f>
        <v>0</v>
      </c>
      <c r="O98" s="199">
        <f>'KH Solar Actual'!T26</f>
        <v>0</v>
      </c>
      <c r="P98" s="199">
        <f>'KH Solar Actual'!U26</f>
        <v>0</v>
      </c>
      <c r="Q98" s="199">
        <f>'KH Solar Actual'!V26</f>
        <v>0</v>
      </c>
      <c r="R98" s="199">
        <f>'KH Solar Actual'!W26</f>
        <v>0</v>
      </c>
      <c r="S98" s="199">
        <f>'KH Solar Actual'!X26</f>
        <v>150</v>
      </c>
      <c r="T98" s="199">
        <f>'KH Solar Actual'!Y26</f>
        <v>183</v>
      </c>
      <c r="U98" s="199">
        <f>'KH Solar Actual'!Z26</f>
        <v>0</v>
      </c>
      <c r="V98" s="195">
        <f t="shared" si="77"/>
        <v>333</v>
      </c>
      <c r="W98" s="195">
        <f t="shared" ca="1" si="83"/>
        <v>0</v>
      </c>
      <c r="Y98" s="199">
        <f t="shared" ca="1" si="79"/>
        <v>0</v>
      </c>
      <c r="Z98" s="199">
        <f t="shared" ca="1" si="80"/>
        <v>0</v>
      </c>
      <c r="AA98" s="199">
        <f t="shared" ca="1" si="81"/>
        <v>0</v>
      </c>
      <c r="AB98" s="199">
        <f t="shared" ca="1" si="82"/>
        <v>333</v>
      </c>
    </row>
    <row r="99" spans="2:28" ht="18" customHeight="1">
      <c r="B99" s="582">
        <v>21</v>
      </c>
      <c r="C99" s="585" t="s">
        <v>129</v>
      </c>
      <c r="D99" s="585" t="s">
        <v>116</v>
      </c>
      <c r="E99" s="582" t="s">
        <v>44</v>
      </c>
      <c r="F99" s="582" t="s">
        <v>130</v>
      </c>
      <c r="G99" s="582">
        <v>50</v>
      </c>
      <c r="H99" s="206" t="s">
        <v>44</v>
      </c>
      <c r="I99" s="206" t="s">
        <v>175</v>
      </c>
      <c r="J99" s="197">
        <f>'KH Solar Plan'!AF37</f>
        <v>0</v>
      </c>
      <c r="K99" s="197">
        <f>'KH Solar Plan'!AG37</f>
        <v>0</v>
      </c>
      <c r="L99" s="198">
        <f>'KH Solar Plan'!AH37</f>
        <v>0</v>
      </c>
      <c r="M99" s="197">
        <f>'KH Solar Plan'!AI37</f>
        <v>0</v>
      </c>
      <c r="N99" s="197">
        <f>'KH Solar Plan'!AJ37</f>
        <v>0</v>
      </c>
      <c r="O99" s="197">
        <f>'KH Solar Plan'!AK37</f>
        <v>50</v>
      </c>
      <c r="P99" s="197">
        <f>'KH Solar Plan'!AL37</f>
        <v>0</v>
      </c>
      <c r="Q99" s="197">
        <f>'KH Solar Plan'!AM37</f>
        <v>0</v>
      </c>
      <c r="R99" s="197">
        <f>'KH Solar Plan'!AN37</f>
        <v>0</v>
      </c>
      <c r="S99" s="197">
        <f>'KH Solar Plan'!AO37</f>
        <v>0</v>
      </c>
      <c r="T99" s="197">
        <f>'KH Solar Plan'!AP37</f>
        <v>0</v>
      </c>
      <c r="U99" s="197">
        <f>'KH Solar Plan'!AQ37</f>
        <v>0</v>
      </c>
      <c r="V99" s="194">
        <f t="shared" si="77"/>
        <v>50</v>
      </c>
      <c r="W99" s="194">
        <f t="shared" ca="1" si="83"/>
        <v>50</v>
      </c>
      <c r="Y99" s="197">
        <f t="shared" ca="1" si="79"/>
        <v>0</v>
      </c>
      <c r="Z99" s="197">
        <f t="shared" ca="1" si="80"/>
        <v>50</v>
      </c>
      <c r="AA99" s="197">
        <f t="shared" ca="1" si="81"/>
        <v>0</v>
      </c>
      <c r="AB99" s="197">
        <f t="shared" ca="1" si="82"/>
        <v>0</v>
      </c>
    </row>
    <row r="100" spans="2:28" ht="18" customHeight="1">
      <c r="B100" s="583">
        <v>21</v>
      </c>
      <c r="C100" s="586" t="s">
        <v>129</v>
      </c>
      <c r="D100" s="588" t="s">
        <v>116</v>
      </c>
      <c r="E100" s="590" t="s">
        <v>44</v>
      </c>
      <c r="F100" s="590" t="s">
        <v>130</v>
      </c>
      <c r="G100" s="590"/>
      <c r="H100" s="207" t="s">
        <v>44</v>
      </c>
      <c r="I100" s="207" t="s">
        <v>176</v>
      </c>
      <c r="J100" s="199">
        <f>'KH Solar Rephase'!AE28</f>
        <v>0</v>
      </c>
      <c r="K100" s="199">
        <f>'KH Solar Rephase'!AF28</f>
        <v>0</v>
      </c>
      <c r="L100" s="200">
        <f>'KH Solar Rephase'!AG28</f>
        <v>0</v>
      </c>
      <c r="M100" s="199">
        <f>'KH Solar Rephase'!AH28</f>
        <v>0</v>
      </c>
      <c r="N100" s="199">
        <f>'KH Solar Rephase'!AI28</f>
        <v>0</v>
      </c>
      <c r="O100" s="199">
        <f>'KH Solar Rephase'!AJ28</f>
        <v>50</v>
      </c>
      <c r="P100" s="199">
        <f>'KH Solar Rephase'!AK28</f>
        <v>0</v>
      </c>
      <c r="Q100" s="199">
        <f>'KH Solar Rephase'!AL28</f>
        <v>0</v>
      </c>
      <c r="R100" s="199">
        <f>'KH Solar Rephase'!AM28</f>
        <v>0</v>
      </c>
      <c r="S100" s="199">
        <f>'KH Solar Rephase'!AN28</f>
        <v>0</v>
      </c>
      <c r="T100" s="199">
        <f>'KH Solar Rephase'!AO28</f>
        <v>0</v>
      </c>
      <c r="U100" s="199">
        <f>'KH Solar Rephase'!AP28</f>
        <v>0</v>
      </c>
      <c r="V100" s="195">
        <f t="shared" si="77"/>
        <v>50</v>
      </c>
      <c r="W100" s="195">
        <f t="shared" ca="1" si="83"/>
        <v>50</v>
      </c>
      <c r="Y100" s="199">
        <f t="shared" ca="1" si="79"/>
        <v>0</v>
      </c>
      <c r="Z100" s="199">
        <f t="shared" ca="1" si="80"/>
        <v>50</v>
      </c>
      <c r="AA100" s="199">
        <f t="shared" ca="1" si="81"/>
        <v>0</v>
      </c>
      <c r="AB100" s="199">
        <f t="shared" ca="1" si="82"/>
        <v>0</v>
      </c>
    </row>
    <row r="101" spans="2:28" ht="18" customHeight="1">
      <c r="B101" s="584">
        <v>21</v>
      </c>
      <c r="C101" s="587" t="s">
        <v>129</v>
      </c>
      <c r="D101" s="589" t="s">
        <v>116</v>
      </c>
      <c r="E101" s="591" t="s">
        <v>44</v>
      </c>
      <c r="F101" s="591" t="s">
        <v>130</v>
      </c>
      <c r="G101" s="591"/>
      <c r="H101" s="207" t="s">
        <v>44</v>
      </c>
      <c r="I101" s="207" t="s">
        <v>177</v>
      </c>
      <c r="J101" s="199">
        <f>'KH Solar Actual'!O27</f>
        <v>0</v>
      </c>
      <c r="K101" s="199">
        <f>'KH Solar Actual'!P27</f>
        <v>0</v>
      </c>
      <c r="L101" s="200">
        <f>'KH Solar Actual'!Q27</f>
        <v>0</v>
      </c>
      <c r="M101" s="199">
        <f>'KH Solar Actual'!R27</f>
        <v>0</v>
      </c>
      <c r="N101" s="199">
        <f>'KH Solar Actual'!S27</f>
        <v>0</v>
      </c>
      <c r="O101" s="199">
        <f>'KH Solar Actual'!T27</f>
        <v>0</v>
      </c>
      <c r="P101" s="199">
        <f>'KH Solar Actual'!U27</f>
        <v>50</v>
      </c>
      <c r="Q101" s="199">
        <f>'KH Solar Actual'!V27</f>
        <v>0</v>
      </c>
      <c r="R101" s="199">
        <f>'KH Solar Actual'!W27</f>
        <v>0</v>
      </c>
      <c r="S101" s="199">
        <f>'KH Solar Actual'!X27</f>
        <v>0</v>
      </c>
      <c r="T101" s="199">
        <f>'KH Solar Actual'!Y27</f>
        <v>0</v>
      </c>
      <c r="U101" s="199">
        <f>'KH Solar Actual'!Z27</f>
        <v>0</v>
      </c>
      <c r="V101" s="195">
        <f t="shared" si="77"/>
        <v>50</v>
      </c>
      <c r="W101" s="195">
        <f t="shared" ca="1" si="83"/>
        <v>50</v>
      </c>
      <c r="Y101" s="199">
        <f t="shared" ca="1" si="79"/>
        <v>0</v>
      </c>
      <c r="Z101" s="199">
        <f t="shared" ca="1" si="80"/>
        <v>0</v>
      </c>
      <c r="AA101" s="199">
        <f t="shared" ca="1" si="81"/>
        <v>50</v>
      </c>
      <c r="AB101" s="199">
        <f t="shared" ca="1" si="82"/>
        <v>0</v>
      </c>
    </row>
    <row r="102" spans="2:28" ht="18" customHeight="1">
      <c r="B102" s="582">
        <v>22</v>
      </c>
      <c r="C102" s="585" t="s">
        <v>57</v>
      </c>
      <c r="D102" s="585" t="s">
        <v>111</v>
      </c>
      <c r="E102" s="582" t="s">
        <v>44</v>
      </c>
      <c r="F102" s="582" t="s">
        <v>71</v>
      </c>
      <c r="G102" s="582">
        <v>425</v>
      </c>
      <c r="H102" s="206" t="s">
        <v>44</v>
      </c>
      <c r="I102" s="206" t="s">
        <v>175</v>
      </c>
      <c r="J102" s="197">
        <f>'KH Solar Plan'!AF38</f>
        <v>0</v>
      </c>
      <c r="K102" s="197">
        <f>'KH Solar Plan'!AG38</f>
        <v>0</v>
      </c>
      <c r="L102" s="198">
        <f>'KH Solar Plan'!AH38</f>
        <v>0</v>
      </c>
      <c r="M102" s="197">
        <f>'KH Solar Plan'!AI38</f>
        <v>0</v>
      </c>
      <c r="N102" s="197">
        <f>'KH Solar Plan'!AJ38</f>
        <v>0</v>
      </c>
      <c r="O102" s="197">
        <f>'KH Solar Plan'!AK38</f>
        <v>0</v>
      </c>
      <c r="P102" s="197">
        <f>'KH Solar Plan'!AL38</f>
        <v>0</v>
      </c>
      <c r="Q102" s="197">
        <f>'KH Solar Plan'!AM38</f>
        <v>0</v>
      </c>
      <c r="R102" s="197">
        <f>'KH Solar Plan'!AN38</f>
        <v>425</v>
      </c>
      <c r="S102" s="197">
        <f>'KH Solar Plan'!AO38</f>
        <v>0</v>
      </c>
      <c r="T102" s="197">
        <f>'KH Solar Plan'!AP38</f>
        <v>0</v>
      </c>
      <c r="U102" s="197">
        <f>'KH Solar Plan'!AQ38</f>
        <v>0</v>
      </c>
      <c r="V102" s="194">
        <f>SUM(J102:U102)</f>
        <v>425</v>
      </c>
      <c r="W102" s="194">
        <f ca="1">SUM(OFFSET(J102,0,0,1,$A$1))</f>
        <v>0</v>
      </c>
      <c r="Y102" s="197">
        <f ca="1">SUM(OFFSET($J102,0,0,1,$A$2))</f>
        <v>0</v>
      </c>
      <c r="Z102" s="197">
        <f ca="1">SUM(OFFSET($M102,0,0,1,$A$2))</f>
        <v>0</v>
      </c>
      <c r="AA102" s="197">
        <f ca="1">SUM(OFFSET($P102,0,0,1,$A$2))</f>
        <v>425</v>
      </c>
      <c r="AB102" s="197">
        <f ca="1">SUM(OFFSET($S102,0,0,1,$A$2))</f>
        <v>0</v>
      </c>
    </row>
    <row r="103" spans="2:28" ht="18" customHeight="1">
      <c r="B103" s="583">
        <v>22</v>
      </c>
      <c r="C103" s="586" t="s">
        <v>57</v>
      </c>
      <c r="D103" s="588" t="s">
        <v>111</v>
      </c>
      <c r="E103" s="590" t="s">
        <v>44</v>
      </c>
      <c r="F103" s="590" t="s">
        <v>71</v>
      </c>
      <c r="G103" s="590"/>
      <c r="H103" s="207" t="s">
        <v>44</v>
      </c>
      <c r="I103" s="207" t="s">
        <v>176</v>
      </c>
      <c r="J103" s="199">
        <f>'KH Solar Rephase'!AE29</f>
        <v>0</v>
      </c>
      <c r="K103" s="199">
        <f>'KH Solar Rephase'!AF29</f>
        <v>0</v>
      </c>
      <c r="L103" s="200">
        <f>'KH Solar Rephase'!AG29</f>
        <v>0</v>
      </c>
      <c r="M103" s="199">
        <f>'KH Solar Rephase'!AH29</f>
        <v>0</v>
      </c>
      <c r="N103" s="199">
        <f>'KH Solar Rephase'!AI29</f>
        <v>0</v>
      </c>
      <c r="O103" s="199">
        <f>'KH Solar Rephase'!AJ29</f>
        <v>0</v>
      </c>
      <c r="P103" s="199">
        <f>'KH Solar Rephase'!AK29</f>
        <v>0</v>
      </c>
      <c r="Q103" s="199">
        <f>'KH Solar Rephase'!AL29</f>
        <v>0</v>
      </c>
      <c r="R103" s="199">
        <f>'KH Solar Rephase'!AM29</f>
        <v>0</v>
      </c>
      <c r="S103" s="199">
        <f>'KH Solar Rephase'!AN29</f>
        <v>150</v>
      </c>
      <c r="T103" s="199">
        <f>'KH Solar Rephase'!AO29</f>
        <v>150</v>
      </c>
      <c r="U103" s="199">
        <f>'KH Solar Rephase'!AP29</f>
        <v>125</v>
      </c>
      <c r="V103" s="195">
        <f t="shared" ref="V103:V104" si="91">SUM(J103:U103)</f>
        <v>425</v>
      </c>
      <c r="W103" s="195">
        <f ca="1">SUM(OFFSET(J103,0,0,1,$A$1))</f>
        <v>0</v>
      </c>
      <c r="Y103" s="199">
        <f ca="1">SUM(OFFSET($J103,0,0,1,$A$2))</f>
        <v>0</v>
      </c>
      <c r="Z103" s="199">
        <f ca="1">SUM(OFFSET($M103,0,0,1,$A$2))</f>
        <v>0</v>
      </c>
      <c r="AA103" s="199">
        <f ca="1">SUM(OFFSET($P103,0,0,1,$A$2))</f>
        <v>0</v>
      </c>
      <c r="AB103" s="199">
        <f ca="1">SUM(OFFSET($S103,0,0,1,$A$2))</f>
        <v>425</v>
      </c>
    </row>
    <row r="104" spans="2:28" ht="18" customHeight="1">
      <c r="B104" s="612">
        <v>22</v>
      </c>
      <c r="C104" s="613" t="s">
        <v>57</v>
      </c>
      <c r="D104" s="614" t="s">
        <v>111</v>
      </c>
      <c r="E104" s="615" t="s">
        <v>44</v>
      </c>
      <c r="F104" s="615" t="s">
        <v>71</v>
      </c>
      <c r="G104" s="615"/>
      <c r="H104" s="208" t="s">
        <v>44</v>
      </c>
      <c r="I104" s="208" t="s">
        <v>177</v>
      </c>
      <c r="J104" s="201">
        <f>'KH Solar Actual'!O28</f>
        <v>0</v>
      </c>
      <c r="K104" s="201">
        <f>'KH Solar Actual'!P28</f>
        <v>0</v>
      </c>
      <c r="L104" s="202">
        <f>'KH Solar Actual'!Q28</f>
        <v>0</v>
      </c>
      <c r="M104" s="201">
        <f>'KH Solar Actual'!R28</f>
        <v>0</v>
      </c>
      <c r="N104" s="201">
        <f>'KH Solar Actual'!S28</f>
        <v>0</v>
      </c>
      <c r="O104" s="201">
        <f>'KH Solar Actual'!T28</f>
        <v>0</v>
      </c>
      <c r="P104" s="201">
        <f>'KH Solar Actual'!U28</f>
        <v>0</v>
      </c>
      <c r="Q104" s="201">
        <f>'KH Solar Actual'!V28</f>
        <v>0</v>
      </c>
      <c r="R104" s="201">
        <f>'KH Solar Actual'!W28</f>
        <v>0</v>
      </c>
      <c r="S104" s="201">
        <f>'KH Solar Actual'!X28</f>
        <v>100</v>
      </c>
      <c r="T104" s="201">
        <f>'KH Solar Actual'!Y28</f>
        <v>150</v>
      </c>
      <c r="U104" s="201">
        <f>'KH Solar Actual'!Z28</f>
        <v>175</v>
      </c>
      <c r="V104" s="196">
        <f t="shared" si="91"/>
        <v>425</v>
      </c>
      <c r="W104" s="196">
        <f ca="1">SUM(OFFSET(J104,0,0,1,$A$1))</f>
        <v>0</v>
      </c>
      <c r="Y104" s="201">
        <f ca="1">SUM(OFFSET($J104,0,0,1,$A$2))</f>
        <v>0</v>
      </c>
      <c r="Z104" s="201">
        <f ca="1">SUM(OFFSET($M104,0,0,1,$A$2))</f>
        <v>0</v>
      </c>
      <c r="AA104" s="201">
        <f ca="1">SUM(OFFSET($P104,0,0,1,$A$2))</f>
        <v>0</v>
      </c>
      <c r="AB104" s="201">
        <f ca="1">SUM(OFFSET($S104,0,0,1,$A$2))</f>
        <v>425</v>
      </c>
    </row>
    <row r="105" spans="2:28" ht="7.5" customHeight="1">
      <c r="I105" s="212"/>
    </row>
    <row r="106" spans="2:28" ht="18" customHeight="1">
      <c r="B106" s="603" t="s">
        <v>189</v>
      </c>
      <c r="C106" s="604"/>
      <c r="D106" s="604"/>
      <c r="E106" s="604"/>
      <c r="F106" s="605"/>
      <c r="G106" s="602">
        <f>SUM(G33:G104)-150-142</f>
        <v>4484.5</v>
      </c>
      <c r="H106" s="180"/>
      <c r="I106" s="223" t="s">
        <v>175</v>
      </c>
      <c r="J106" s="111">
        <f>SUM(J107:J109)</f>
        <v>932.5</v>
      </c>
      <c r="K106" s="111">
        <f t="shared" ref="K106:U106" si="92">SUM(K107:K109)</f>
        <v>350</v>
      </c>
      <c r="L106" s="111">
        <f t="shared" si="92"/>
        <v>952</v>
      </c>
      <c r="M106" s="111">
        <f t="shared" si="92"/>
        <v>550</v>
      </c>
      <c r="N106" s="111">
        <f t="shared" si="92"/>
        <v>0</v>
      </c>
      <c r="O106" s="111">
        <f t="shared" si="92"/>
        <v>433</v>
      </c>
      <c r="P106" s="111">
        <f t="shared" si="92"/>
        <v>367</v>
      </c>
      <c r="Q106" s="111">
        <f t="shared" si="92"/>
        <v>275</v>
      </c>
      <c r="R106" s="111">
        <f t="shared" si="92"/>
        <v>425</v>
      </c>
      <c r="S106" s="111">
        <f t="shared" si="92"/>
        <v>200</v>
      </c>
      <c r="T106" s="111">
        <f t="shared" si="92"/>
        <v>0</v>
      </c>
      <c r="U106" s="111">
        <f t="shared" si="92"/>
        <v>0</v>
      </c>
      <c r="V106" s="111">
        <f>SUM(J106:U106)</f>
        <v>4484.5</v>
      </c>
      <c r="W106" s="111">
        <f t="shared" ref="W106:W117" ca="1" si="93">SUM(OFFSET(J106,0,0,1,$A$1))</f>
        <v>3859.5</v>
      </c>
      <c r="Y106" s="111">
        <f t="shared" ref="Y106:Y117" ca="1" si="94">SUM(OFFSET($J106,0,0,1,$A$2))</f>
        <v>2234.5</v>
      </c>
      <c r="Z106" s="111">
        <f t="shared" ref="Z106:Z117" ca="1" si="95">SUM(OFFSET($M106,0,0,1,$A$2))</f>
        <v>983</v>
      </c>
      <c r="AA106" s="111">
        <f t="shared" ref="AA106:AA117" ca="1" si="96">SUM(OFFSET($P106,0,0,1,$A$2))</f>
        <v>1067</v>
      </c>
      <c r="AB106" s="111">
        <f t="shared" ref="AB106:AB117" ca="1" si="97">SUM(OFFSET($S106,0,0,1,$A$2))</f>
        <v>200</v>
      </c>
    </row>
    <row r="107" spans="2:28" ht="18" customHeight="1">
      <c r="B107" s="606"/>
      <c r="C107" s="607"/>
      <c r="D107" s="607"/>
      <c r="E107" s="607"/>
      <c r="F107" s="608"/>
      <c r="G107" s="602"/>
      <c r="H107" s="188"/>
      <c r="I107" s="214" t="s">
        <v>44</v>
      </c>
      <c r="J107" s="197">
        <f t="shared" ref="J107:U109" si="98">+SUMIFS(J$33:J$104,$I$33:$I$104,$I$106,$H$33:$H$104,$I107)</f>
        <v>582.5</v>
      </c>
      <c r="K107" s="197">
        <f t="shared" si="98"/>
        <v>0</v>
      </c>
      <c r="L107" s="197">
        <f t="shared" si="98"/>
        <v>475</v>
      </c>
      <c r="M107" s="197">
        <f t="shared" si="98"/>
        <v>550</v>
      </c>
      <c r="N107" s="197">
        <f t="shared" si="98"/>
        <v>0</v>
      </c>
      <c r="O107" s="197">
        <f t="shared" si="98"/>
        <v>433</v>
      </c>
      <c r="P107" s="197">
        <f t="shared" si="98"/>
        <v>367</v>
      </c>
      <c r="Q107" s="197">
        <f t="shared" si="98"/>
        <v>75</v>
      </c>
      <c r="R107" s="197">
        <f t="shared" si="98"/>
        <v>425</v>
      </c>
      <c r="S107" s="197">
        <f t="shared" si="98"/>
        <v>0</v>
      </c>
      <c r="T107" s="197">
        <f t="shared" si="98"/>
        <v>0</v>
      </c>
      <c r="U107" s="197">
        <f t="shared" si="98"/>
        <v>0</v>
      </c>
      <c r="V107" s="194">
        <f t="shared" ref="V107:V117" si="99">SUM(J107:U107)</f>
        <v>2907.5</v>
      </c>
      <c r="W107" s="194">
        <f t="shared" ca="1" si="93"/>
        <v>2482.5</v>
      </c>
      <c r="Y107" s="197">
        <f t="shared" ca="1" si="94"/>
        <v>1057.5</v>
      </c>
      <c r="Z107" s="197">
        <f t="shared" ca="1" si="95"/>
        <v>983</v>
      </c>
      <c r="AA107" s="197">
        <f t="shared" ca="1" si="96"/>
        <v>867</v>
      </c>
      <c r="AB107" s="197">
        <f t="shared" ca="1" si="97"/>
        <v>0</v>
      </c>
    </row>
    <row r="108" spans="2:28" ht="18" customHeight="1">
      <c r="B108" s="606"/>
      <c r="C108" s="607"/>
      <c r="D108" s="607"/>
      <c r="E108" s="607"/>
      <c r="F108" s="608"/>
      <c r="G108" s="602"/>
      <c r="H108" s="189"/>
      <c r="I108" s="215" t="s">
        <v>33</v>
      </c>
      <c r="J108" s="199">
        <f t="shared" si="98"/>
        <v>350</v>
      </c>
      <c r="K108" s="199">
        <f t="shared" si="98"/>
        <v>350</v>
      </c>
      <c r="L108" s="199">
        <f t="shared" si="98"/>
        <v>352</v>
      </c>
      <c r="M108" s="199">
        <f t="shared" si="98"/>
        <v>0</v>
      </c>
      <c r="N108" s="199">
        <f t="shared" si="98"/>
        <v>0</v>
      </c>
      <c r="O108" s="199">
        <f t="shared" si="98"/>
        <v>0</v>
      </c>
      <c r="P108" s="199">
        <f t="shared" si="98"/>
        <v>0</v>
      </c>
      <c r="Q108" s="199">
        <f t="shared" si="98"/>
        <v>200</v>
      </c>
      <c r="R108" s="199">
        <f t="shared" si="98"/>
        <v>0</v>
      </c>
      <c r="S108" s="199">
        <f t="shared" si="98"/>
        <v>200</v>
      </c>
      <c r="T108" s="199">
        <f t="shared" si="98"/>
        <v>0</v>
      </c>
      <c r="U108" s="199">
        <f t="shared" si="98"/>
        <v>0</v>
      </c>
      <c r="V108" s="195">
        <f t="shared" si="99"/>
        <v>1452</v>
      </c>
      <c r="W108" s="195">
        <f t="shared" ca="1" si="93"/>
        <v>1252</v>
      </c>
      <c r="Y108" s="199">
        <f t="shared" ca="1" si="94"/>
        <v>1052</v>
      </c>
      <c r="Z108" s="199">
        <f t="shared" ca="1" si="95"/>
        <v>0</v>
      </c>
      <c r="AA108" s="199">
        <f t="shared" ca="1" si="96"/>
        <v>200</v>
      </c>
      <c r="AB108" s="199">
        <f t="shared" ca="1" si="97"/>
        <v>200</v>
      </c>
    </row>
    <row r="109" spans="2:28" ht="18" customHeight="1">
      <c r="B109" s="606"/>
      <c r="C109" s="607"/>
      <c r="D109" s="607"/>
      <c r="E109" s="607"/>
      <c r="F109" s="608"/>
      <c r="G109" s="602"/>
      <c r="H109" s="190"/>
      <c r="I109" s="216" t="s">
        <v>62</v>
      </c>
      <c r="J109" s="201">
        <f t="shared" si="98"/>
        <v>0</v>
      </c>
      <c r="K109" s="201">
        <f t="shared" si="98"/>
        <v>0</v>
      </c>
      <c r="L109" s="201">
        <f t="shared" si="98"/>
        <v>125</v>
      </c>
      <c r="M109" s="201">
        <f t="shared" si="98"/>
        <v>0</v>
      </c>
      <c r="N109" s="201">
        <f t="shared" si="98"/>
        <v>0</v>
      </c>
      <c r="O109" s="201">
        <f t="shared" si="98"/>
        <v>0</v>
      </c>
      <c r="P109" s="201">
        <f t="shared" si="98"/>
        <v>0</v>
      </c>
      <c r="Q109" s="201">
        <f t="shared" si="98"/>
        <v>0</v>
      </c>
      <c r="R109" s="201">
        <f t="shared" si="98"/>
        <v>0</v>
      </c>
      <c r="S109" s="201">
        <f t="shared" si="98"/>
        <v>0</v>
      </c>
      <c r="T109" s="201">
        <f t="shared" si="98"/>
        <v>0</v>
      </c>
      <c r="U109" s="201">
        <f t="shared" si="98"/>
        <v>0</v>
      </c>
      <c r="V109" s="196">
        <f t="shared" si="99"/>
        <v>125</v>
      </c>
      <c r="W109" s="196">
        <f t="shared" ca="1" si="93"/>
        <v>125</v>
      </c>
      <c r="Y109" s="201">
        <f t="shared" ca="1" si="94"/>
        <v>125</v>
      </c>
      <c r="Z109" s="201">
        <f t="shared" ca="1" si="95"/>
        <v>0</v>
      </c>
      <c r="AA109" s="201">
        <f t="shared" ca="1" si="96"/>
        <v>0</v>
      </c>
      <c r="AB109" s="201">
        <f t="shared" ca="1" si="97"/>
        <v>0</v>
      </c>
    </row>
    <row r="110" spans="2:28" ht="18" customHeight="1">
      <c r="B110" s="606"/>
      <c r="C110" s="607"/>
      <c r="D110" s="607"/>
      <c r="E110" s="607"/>
      <c r="F110" s="608"/>
      <c r="G110" s="602"/>
      <c r="H110" s="180"/>
      <c r="I110" s="223" t="s">
        <v>176</v>
      </c>
      <c r="J110" s="111">
        <f t="shared" ref="J110" si="100">SUM(J111:J113)</f>
        <v>370</v>
      </c>
      <c r="K110" s="111">
        <f t="shared" ref="K110" si="101">SUM(K111:K113)</f>
        <v>287.5</v>
      </c>
      <c r="L110" s="111">
        <f t="shared" ref="L110" si="102">SUM(L111:L113)</f>
        <v>637.5</v>
      </c>
      <c r="M110" s="111">
        <f t="shared" ref="M110" si="103">SUM(M111:M113)</f>
        <v>347.5</v>
      </c>
      <c r="N110" s="111">
        <f t="shared" ref="N110" si="104">SUM(N111:N113)</f>
        <v>425</v>
      </c>
      <c r="O110" s="111">
        <f t="shared" ref="O110" si="105">SUM(O111:O113)</f>
        <v>275</v>
      </c>
      <c r="P110" s="111">
        <f t="shared" ref="P110" si="106">SUM(P111:P113)</f>
        <v>262</v>
      </c>
      <c r="Q110" s="111">
        <f t="shared" ref="Q110" si="107">SUM(Q111:Q113)</f>
        <v>355</v>
      </c>
      <c r="R110" s="111">
        <f t="shared" ref="R110" si="108">SUM(R111:R113)</f>
        <v>150</v>
      </c>
      <c r="S110" s="111">
        <f t="shared" ref="S110" si="109">SUM(S111:S113)</f>
        <v>617</v>
      </c>
      <c r="T110" s="111">
        <f t="shared" ref="T110" si="110">SUM(T111:T113)</f>
        <v>500</v>
      </c>
      <c r="U110" s="111">
        <f t="shared" ref="U110" si="111">SUM(U111:U113)</f>
        <v>258</v>
      </c>
      <c r="V110" s="111">
        <f t="shared" si="99"/>
        <v>4484.5</v>
      </c>
      <c r="W110" s="111">
        <f t="shared" ca="1" si="93"/>
        <v>2959.5</v>
      </c>
      <c r="Y110" s="111">
        <f t="shared" ca="1" si="94"/>
        <v>1295</v>
      </c>
      <c r="Z110" s="111">
        <f t="shared" ca="1" si="95"/>
        <v>1047.5</v>
      </c>
      <c r="AA110" s="111">
        <f t="shared" ca="1" si="96"/>
        <v>767</v>
      </c>
      <c r="AB110" s="111">
        <f t="shared" ca="1" si="97"/>
        <v>1375</v>
      </c>
    </row>
    <row r="111" spans="2:28" ht="18" customHeight="1">
      <c r="B111" s="606"/>
      <c r="C111" s="607"/>
      <c r="D111" s="607"/>
      <c r="E111" s="607"/>
      <c r="F111" s="608"/>
      <c r="G111" s="602"/>
      <c r="H111" s="188"/>
      <c r="I111" s="214" t="s">
        <v>44</v>
      </c>
      <c r="J111" s="197">
        <f t="shared" ref="J111:U113" si="112">+SUMIFS(J$33:J$104,$I$33:$I$104,$I$110,$H$33:$H$104,$I111)</f>
        <v>320</v>
      </c>
      <c r="K111" s="197">
        <f t="shared" si="112"/>
        <v>162.5</v>
      </c>
      <c r="L111" s="197">
        <f t="shared" si="112"/>
        <v>462.5</v>
      </c>
      <c r="M111" s="197">
        <f t="shared" si="112"/>
        <v>187.5</v>
      </c>
      <c r="N111" s="197">
        <f t="shared" si="112"/>
        <v>150</v>
      </c>
      <c r="O111" s="197">
        <f t="shared" si="112"/>
        <v>200</v>
      </c>
      <c r="P111" s="197">
        <f t="shared" si="112"/>
        <v>100</v>
      </c>
      <c r="Q111" s="197">
        <f t="shared" si="112"/>
        <v>150</v>
      </c>
      <c r="R111" s="197">
        <f t="shared" si="112"/>
        <v>150</v>
      </c>
      <c r="S111" s="197">
        <f t="shared" si="112"/>
        <v>467</v>
      </c>
      <c r="T111" s="197">
        <f t="shared" si="112"/>
        <v>300</v>
      </c>
      <c r="U111" s="197">
        <f t="shared" si="112"/>
        <v>258</v>
      </c>
      <c r="V111" s="194">
        <f t="shared" si="99"/>
        <v>2907.5</v>
      </c>
      <c r="W111" s="194">
        <f t="shared" ca="1" si="93"/>
        <v>1732.5</v>
      </c>
      <c r="Y111" s="197">
        <f t="shared" ca="1" si="94"/>
        <v>945</v>
      </c>
      <c r="Z111" s="197">
        <f t="shared" ca="1" si="95"/>
        <v>537.5</v>
      </c>
      <c r="AA111" s="197">
        <f t="shared" ca="1" si="96"/>
        <v>400</v>
      </c>
      <c r="AB111" s="197">
        <f t="shared" ca="1" si="97"/>
        <v>1025</v>
      </c>
    </row>
    <row r="112" spans="2:28" ht="18" customHeight="1">
      <c r="B112" s="606"/>
      <c r="C112" s="607"/>
      <c r="D112" s="607"/>
      <c r="E112" s="607"/>
      <c r="F112" s="608"/>
      <c r="G112" s="602"/>
      <c r="H112" s="189"/>
      <c r="I112" s="215" t="s">
        <v>33</v>
      </c>
      <c r="J112" s="199">
        <f t="shared" si="112"/>
        <v>50</v>
      </c>
      <c r="K112" s="199">
        <f t="shared" si="112"/>
        <v>125</v>
      </c>
      <c r="L112" s="199">
        <f t="shared" si="112"/>
        <v>175</v>
      </c>
      <c r="M112" s="199">
        <f t="shared" si="112"/>
        <v>160</v>
      </c>
      <c r="N112" s="199">
        <f t="shared" si="112"/>
        <v>200</v>
      </c>
      <c r="O112" s="199">
        <f t="shared" si="112"/>
        <v>75</v>
      </c>
      <c r="P112" s="199">
        <f t="shared" si="112"/>
        <v>112</v>
      </c>
      <c r="Q112" s="199">
        <f t="shared" si="112"/>
        <v>205</v>
      </c>
      <c r="R112" s="199">
        <f t="shared" si="112"/>
        <v>0</v>
      </c>
      <c r="S112" s="199">
        <f t="shared" si="112"/>
        <v>150</v>
      </c>
      <c r="T112" s="199">
        <f t="shared" si="112"/>
        <v>200</v>
      </c>
      <c r="U112" s="199">
        <f t="shared" si="112"/>
        <v>0</v>
      </c>
      <c r="V112" s="195">
        <f t="shared" si="99"/>
        <v>1452</v>
      </c>
      <c r="W112" s="195">
        <f t="shared" ca="1" si="93"/>
        <v>1102</v>
      </c>
      <c r="Y112" s="199">
        <f t="shared" ca="1" si="94"/>
        <v>350</v>
      </c>
      <c r="Z112" s="199">
        <f t="shared" ca="1" si="95"/>
        <v>435</v>
      </c>
      <c r="AA112" s="199">
        <f t="shared" ca="1" si="96"/>
        <v>317</v>
      </c>
      <c r="AB112" s="199">
        <f t="shared" ca="1" si="97"/>
        <v>350</v>
      </c>
    </row>
    <row r="113" spans="2:28" ht="18" customHeight="1">
      <c r="B113" s="606"/>
      <c r="C113" s="607"/>
      <c r="D113" s="607"/>
      <c r="E113" s="607"/>
      <c r="F113" s="608"/>
      <c r="G113" s="602"/>
      <c r="H113" s="190"/>
      <c r="I113" s="216" t="s">
        <v>62</v>
      </c>
      <c r="J113" s="201">
        <f t="shared" si="112"/>
        <v>0</v>
      </c>
      <c r="K113" s="201">
        <f t="shared" si="112"/>
        <v>0</v>
      </c>
      <c r="L113" s="201">
        <f t="shared" si="112"/>
        <v>0</v>
      </c>
      <c r="M113" s="201">
        <f t="shared" si="112"/>
        <v>0</v>
      </c>
      <c r="N113" s="201">
        <f t="shared" si="112"/>
        <v>75</v>
      </c>
      <c r="O113" s="201">
        <f t="shared" si="112"/>
        <v>0</v>
      </c>
      <c r="P113" s="201">
        <f t="shared" si="112"/>
        <v>50</v>
      </c>
      <c r="Q113" s="201">
        <f t="shared" si="112"/>
        <v>0</v>
      </c>
      <c r="R113" s="201">
        <f t="shared" si="112"/>
        <v>0</v>
      </c>
      <c r="S113" s="201">
        <f t="shared" si="112"/>
        <v>0</v>
      </c>
      <c r="T113" s="201">
        <f t="shared" si="112"/>
        <v>0</v>
      </c>
      <c r="U113" s="201">
        <f t="shared" si="112"/>
        <v>0</v>
      </c>
      <c r="V113" s="196">
        <f t="shared" si="99"/>
        <v>125</v>
      </c>
      <c r="W113" s="196">
        <f t="shared" ca="1" si="93"/>
        <v>125</v>
      </c>
      <c r="Y113" s="201">
        <f t="shared" ca="1" si="94"/>
        <v>0</v>
      </c>
      <c r="Z113" s="201">
        <f t="shared" ca="1" si="95"/>
        <v>75</v>
      </c>
      <c r="AA113" s="201">
        <f t="shared" ca="1" si="96"/>
        <v>50</v>
      </c>
      <c r="AB113" s="201">
        <f t="shared" ca="1" si="97"/>
        <v>0</v>
      </c>
    </row>
    <row r="114" spans="2:28" ht="18" customHeight="1">
      <c r="B114" s="606"/>
      <c r="C114" s="607"/>
      <c r="D114" s="607"/>
      <c r="E114" s="607"/>
      <c r="F114" s="608"/>
      <c r="G114" s="602"/>
      <c r="H114" s="180"/>
      <c r="I114" s="223" t="s">
        <v>177</v>
      </c>
      <c r="J114" s="111">
        <f>SUM(J115:J117)</f>
        <v>370</v>
      </c>
      <c r="K114" s="111">
        <f t="shared" ref="K114" si="113">SUM(K115:K117)</f>
        <v>287.5</v>
      </c>
      <c r="L114" s="111">
        <f t="shared" ref="L114" si="114">SUM(L115:L117)</f>
        <v>637.5</v>
      </c>
      <c r="M114" s="111">
        <f t="shared" ref="M114" si="115">SUM(M115:M117)</f>
        <v>60</v>
      </c>
      <c r="N114" s="111">
        <f t="shared" ref="N114" si="116">SUM(N115:N117)</f>
        <v>262.5</v>
      </c>
      <c r="O114" s="111">
        <f t="shared" ref="O114" si="117">SUM(O115:O117)</f>
        <v>500</v>
      </c>
      <c r="P114" s="111">
        <f t="shared" ref="P114" si="118">SUM(P115:P117)</f>
        <v>125</v>
      </c>
      <c r="Q114" s="111">
        <f t="shared" ref="Q114" si="119">SUM(Q115:Q117)</f>
        <v>250</v>
      </c>
      <c r="R114" s="111">
        <f>SUM(R115:R117)</f>
        <v>275</v>
      </c>
      <c r="S114" s="111">
        <f t="shared" ref="S114" si="120">SUM(S115:S117)</f>
        <v>837.5</v>
      </c>
      <c r="T114" s="111">
        <f t="shared" ref="T114" si="121">SUM(T115:T117)</f>
        <v>704.5</v>
      </c>
      <c r="U114" s="111">
        <f t="shared" ref="U114" si="122">SUM(U115:U117)</f>
        <v>175</v>
      </c>
      <c r="V114" s="111">
        <f t="shared" si="99"/>
        <v>4484.5</v>
      </c>
      <c r="W114" s="111">
        <f t="shared" ca="1" si="93"/>
        <v>2492.5</v>
      </c>
      <c r="Y114" s="111">
        <f t="shared" ca="1" si="94"/>
        <v>1295</v>
      </c>
      <c r="Z114" s="111">
        <f t="shared" ca="1" si="95"/>
        <v>822.5</v>
      </c>
      <c r="AA114" s="111">
        <f t="shared" ca="1" si="96"/>
        <v>650</v>
      </c>
      <c r="AB114" s="111">
        <f t="shared" ca="1" si="97"/>
        <v>1717</v>
      </c>
    </row>
    <row r="115" spans="2:28" ht="18" customHeight="1">
      <c r="B115" s="606"/>
      <c r="C115" s="607"/>
      <c r="D115" s="607"/>
      <c r="E115" s="607"/>
      <c r="F115" s="608"/>
      <c r="G115" s="602"/>
      <c r="H115" s="188"/>
      <c r="I115" s="214" t="s">
        <v>44</v>
      </c>
      <c r="J115" s="197">
        <f t="shared" ref="J115:U117" si="123">+SUMIFS(J$33:J$104,$I$33:$I$104,$I$114,$H$33:$H$104,$I115)</f>
        <v>320</v>
      </c>
      <c r="K115" s="197">
        <f t="shared" si="123"/>
        <v>162.5</v>
      </c>
      <c r="L115" s="197">
        <f t="shared" si="123"/>
        <v>462.5</v>
      </c>
      <c r="M115" s="197">
        <f t="shared" si="123"/>
        <v>0</v>
      </c>
      <c r="N115" s="197">
        <f t="shared" si="123"/>
        <v>137.5</v>
      </c>
      <c r="O115" s="197">
        <f t="shared" si="123"/>
        <v>175</v>
      </c>
      <c r="P115" s="197">
        <f t="shared" si="123"/>
        <v>125</v>
      </c>
      <c r="Q115" s="197">
        <f t="shared" si="123"/>
        <v>200</v>
      </c>
      <c r="R115" s="197">
        <f>+SUMIFS(R$33:R$104,$I$33:$I$104,$I$114,$H$33:$H$104,$I115)</f>
        <v>150</v>
      </c>
      <c r="S115" s="197">
        <f t="shared" si="123"/>
        <v>575</v>
      </c>
      <c r="T115" s="197">
        <f t="shared" si="123"/>
        <v>425</v>
      </c>
      <c r="U115" s="197">
        <f t="shared" si="123"/>
        <v>175</v>
      </c>
      <c r="V115" s="194">
        <f>SUM(J115:U115)</f>
        <v>2907.5</v>
      </c>
      <c r="W115" s="194">
        <f ca="1">SUM(OFFSET(J115,0,0,1,$A$1))</f>
        <v>1582.5</v>
      </c>
      <c r="Y115" s="197">
        <f t="shared" ca="1" si="94"/>
        <v>945</v>
      </c>
      <c r="Z115" s="197">
        <f t="shared" ca="1" si="95"/>
        <v>312.5</v>
      </c>
      <c r="AA115" s="197">
        <f t="shared" ca="1" si="96"/>
        <v>475</v>
      </c>
      <c r="AB115" s="197">
        <f t="shared" ca="1" si="97"/>
        <v>1175</v>
      </c>
    </row>
    <row r="116" spans="2:28" ht="18" customHeight="1">
      <c r="B116" s="606"/>
      <c r="C116" s="607"/>
      <c r="D116" s="607"/>
      <c r="E116" s="607"/>
      <c r="F116" s="608"/>
      <c r="G116" s="602"/>
      <c r="H116" s="189"/>
      <c r="I116" s="215" t="s">
        <v>33</v>
      </c>
      <c r="J116" s="199">
        <f t="shared" si="123"/>
        <v>50</v>
      </c>
      <c r="K116" s="199">
        <f t="shared" si="123"/>
        <v>125</v>
      </c>
      <c r="L116" s="199">
        <f t="shared" si="123"/>
        <v>175</v>
      </c>
      <c r="M116" s="199">
        <f t="shared" si="123"/>
        <v>60</v>
      </c>
      <c r="N116" s="199">
        <f t="shared" si="123"/>
        <v>125</v>
      </c>
      <c r="O116" s="199">
        <f t="shared" si="123"/>
        <v>275</v>
      </c>
      <c r="P116" s="199">
        <f t="shared" si="123"/>
        <v>0</v>
      </c>
      <c r="Q116" s="199">
        <f t="shared" si="123"/>
        <v>50</v>
      </c>
      <c r="R116" s="199">
        <f t="shared" si="123"/>
        <v>50</v>
      </c>
      <c r="S116" s="199">
        <f t="shared" si="123"/>
        <v>262.5</v>
      </c>
      <c r="T116" s="199">
        <f t="shared" si="123"/>
        <v>279.5</v>
      </c>
      <c r="U116" s="199">
        <f t="shared" si="123"/>
        <v>0</v>
      </c>
      <c r="V116" s="195">
        <f t="shared" si="99"/>
        <v>1452</v>
      </c>
      <c r="W116" s="195">
        <f t="shared" ca="1" si="93"/>
        <v>860</v>
      </c>
      <c r="Y116" s="199">
        <f t="shared" ca="1" si="94"/>
        <v>350</v>
      </c>
      <c r="Z116" s="199">
        <f t="shared" ca="1" si="95"/>
        <v>460</v>
      </c>
      <c r="AA116" s="199">
        <f t="shared" ca="1" si="96"/>
        <v>100</v>
      </c>
      <c r="AB116" s="199">
        <f t="shared" ca="1" si="97"/>
        <v>542</v>
      </c>
    </row>
    <row r="117" spans="2:28" ht="18" customHeight="1">
      <c r="B117" s="609"/>
      <c r="C117" s="610"/>
      <c r="D117" s="610"/>
      <c r="E117" s="610"/>
      <c r="F117" s="611"/>
      <c r="G117" s="602"/>
      <c r="H117" s="190"/>
      <c r="I117" s="216" t="s">
        <v>62</v>
      </c>
      <c r="J117" s="201">
        <f t="shared" si="123"/>
        <v>0</v>
      </c>
      <c r="K117" s="201">
        <f t="shared" si="123"/>
        <v>0</v>
      </c>
      <c r="L117" s="201">
        <f t="shared" si="123"/>
        <v>0</v>
      </c>
      <c r="M117" s="201">
        <f t="shared" si="123"/>
        <v>0</v>
      </c>
      <c r="N117" s="201">
        <f t="shared" si="123"/>
        <v>0</v>
      </c>
      <c r="O117" s="201">
        <f t="shared" si="123"/>
        <v>50</v>
      </c>
      <c r="P117" s="201">
        <f t="shared" si="123"/>
        <v>0</v>
      </c>
      <c r="Q117" s="201">
        <f t="shared" si="123"/>
        <v>0</v>
      </c>
      <c r="R117" s="201">
        <f t="shared" si="123"/>
        <v>75</v>
      </c>
      <c r="S117" s="201">
        <f t="shared" si="123"/>
        <v>0</v>
      </c>
      <c r="T117" s="201">
        <f t="shared" si="123"/>
        <v>0</v>
      </c>
      <c r="U117" s="201">
        <f t="shared" si="123"/>
        <v>0</v>
      </c>
      <c r="V117" s="196">
        <f t="shared" si="99"/>
        <v>125</v>
      </c>
      <c r="W117" s="196">
        <f t="shared" ca="1" si="93"/>
        <v>50</v>
      </c>
      <c r="Y117" s="201">
        <f t="shared" ca="1" si="94"/>
        <v>0</v>
      </c>
      <c r="Z117" s="201">
        <f t="shared" ca="1" si="95"/>
        <v>50</v>
      </c>
      <c r="AA117" s="201">
        <f t="shared" ca="1" si="96"/>
        <v>75</v>
      </c>
      <c r="AB117" s="201">
        <f t="shared" ca="1" si="97"/>
        <v>0</v>
      </c>
    </row>
    <row r="118" spans="2:28" ht="18" customHeight="1">
      <c r="B118" s="181"/>
      <c r="C118" s="182"/>
      <c r="D118" s="183"/>
      <c r="E118" s="183"/>
      <c r="F118" s="183"/>
      <c r="G118" s="184"/>
      <c r="H118" s="182"/>
      <c r="I118" s="217"/>
      <c r="J118" s="185"/>
      <c r="K118" s="185"/>
      <c r="L118" s="186"/>
      <c r="M118" s="185"/>
      <c r="N118" s="185"/>
      <c r="O118" s="185"/>
      <c r="P118" s="185"/>
      <c r="Q118" s="185"/>
      <c r="R118" s="185"/>
      <c r="S118" s="185"/>
      <c r="T118" s="185"/>
      <c r="U118" s="185"/>
      <c r="V118" s="187"/>
      <c r="W118" s="187"/>
      <c r="Y118" s="187"/>
      <c r="Z118" s="187"/>
      <c r="AA118" s="187"/>
      <c r="AB118" s="187"/>
    </row>
    <row r="119" spans="2:28" s="171" customFormat="1" ht="18" customHeight="1">
      <c r="B119" s="191" t="s">
        <v>190</v>
      </c>
      <c r="C119" s="112"/>
      <c r="D119" s="112"/>
      <c r="E119" s="112"/>
      <c r="F119" s="112"/>
      <c r="G119" s="112"/>
      <c r="H119" s="112"/>
      <c r="I119" s="211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3"/>
      <c r="W119" s="193"/>
      <c r="Y119" s="218"/>
      <c r="Z119" s="218"/>
      <c r="AA119" s="218"/>
      <c r="AB119" s="218"/>
    </row>
    <row r="120" spans="2:28" ht="18" customHeight="1">
      <c r="B120" s="582">
        <v>1</v>
      </c>
      <c r="C120" s="585" t="s">
        <v>191</v>
      </c>
      <c r="D120" s="585" t="s">
        <v>106</v>
      </c>
      <c r="E120" s="582" t="s">
        <v>62</v>
      </c>
      <c r="F120" s="582" t="s">
        <v>192</v>
      </c>
      <c r="G120" s="582">
        <v>300</v>
      </c>
      <c r="H120" s="206" t="s">
        <v>62</v>
      </c>
      <c r="I120" s="206" t="s">
        <v>175</v>
      </c>
      <c r="J120" s="197">
        <f>' RJ Solar Plan'!P3</f>
        <v>0</v>
      </c>
      <c r="K120" s="197">
        <f>' RJ Solar Plan'!Q3</f>
        <v>0</v>
      </c>
      <c r="L120" s="197">
        <f>' RJ Solar Plan'!R3</f>
        <v>300</v>
      </c>
      <c r="M120" s="197">
        <f>' RJ Solar Plan'!S3</f>
        <v>0</v>
      </c>
      <c r="N120" s="197">
        <f>' RJ Solar Plan'!T3</f>
        <v>0</v>
      </c>
      <c r="O120" s="197">
        <f>' RJ Solar Plan'!U3</f>
        <v>0</v>
      </c>
      <c r="P120" s="197">
        <f>' RJ Solar Plan'!V3</f>
        <v>0</v>
      </c>
      <c r="Q120" s="197">
        <f>' RJ Solar Plan'!W3</f>
        <v>0</v>
      </c>
      <c r="R120" s="197">
        <f>' RJ Solar Plan'!X3</f>
        <v>0</v>
      </c>
      <c r="S120" s="197">
        <f>' RJ Solar Plan'!Y3</f>
        <v>0</v>
      </c>
      <c r="T120" s="197">
        <f>' RJ Solar Plan'!Z3</f>
        <v>0</v>
      </c>
      <c r="U120" s="197">
        <f>' RJ Solar Plan'!AA3</f>
        <v>0</v>
      </c>
      <c r="V120" s="194">
        <f t="shared" ref="V120:V131" si="124">SUM(J120:U120)</f>
        <v>300</v>
      </c>
      <c r="W120" s="194">
        <f t="shared" ref="W120:W131" ca="1" si="125">SUM(OFFSET(J120,0,0,1,$A$1))</f>
        <v>300</v>
      </c>
      <c r="Y120" s="197">
        <f t="shared" ref="Y120:Y131" ca="1" si="126">SUM(OFFSET($J120,0,0,1,$A$2))</f>
        <v>300</v>
      </c>
      <c r="Z120" s="197">
        <f t="shared" ref="Z120:Z131" ca="1" si="127">SUM(OFFSET($M120,0,0,1,$A$2))</f>
        <v>0</v>
      </c>
      <c r="AA120" s="197">
        <f t="shared" ref="AA120:AA131" ca="1" si="128">SUM(OFFSET($P120,0,0,1,$A$2))</f>
        <v>0</v>
      </c>
      <c r="AB120" s="197">
        <f t="shared" ref="AB120:AB131" ca="1" si="129">SUM(OFFSET($S120,0,0,1,$A$2))</f>
        <v>0</v>
      </c>
    </row>
    <row r="121" spans="2:28" ht="18" customHeight="1">
      <c r="B121" s="583"/>
      <c r="C121" s="586"/>
      <c r="D121" s="588"/>
      <c r="E121" s="590"/>
      <c r="F121" s="590"/>
      <c r="G121" s="590"/>
      <c r="H121" s="207" t="s">
        <v>62</v>
      </c>
      <c r="I121" s="207" t="s">
        <v>176</v>
      </c>
      <c r="J121" s="199">
        <f>+' RJ Solar Rephase'!P3</f>
        <v>0</v>
      </c>
      <c r="K121" s="199">
        <f>+' RJ Solar Rephase'!Q3</f>
        <v>0</v>
      </c>
      <c r="L121" s="199">
        <f>+' RJ Solar Rephase'!R3</f>
        <v>0</v>
      </c>
      <c r="M121" s="199">
        <f>+' RJ Solar Rephase'!S3</f>
        <v>150</v>
      </c>
      <c r="N121" s="199">
        <f>+' RJ Solar Rephase'!T3</f>
        <v>150</v>
      </c>
      <c r="O121" s="199">
        <f>+' RJ Solar Rephase'!U3</f>
        <v>0</v>
      </c>
      <c r="P121" s="199">
        <f>+' RJ Solar Rephase'!V3</f>
        <v>0</v>
      </c>
      <c r="Q121" s="199">
        <f>+' RJ Solar Rephase'!W3</f>
        <v>0</v>
      </c>
      <c r="R121" s="199">
        <f>+' RJ Solar Rephase'!X3</f>
        <v>0</v>
      </c>
      <c r="S121" s="199">
        <f>+' RJ Solar Rephase'!Y3</f>
        <v>0</v>
      </c>
      <c r="T121" s="199">
        <f>+' RJ Solar Rephase'!Z3</f>
        <v>0</v>
      </c>
      <c r="U121" s="199">
        <f>+' RJ Solar Rephase'!AA3</f>
        <v>0</v>
      </c>
      <c r="V121" s="195">
        <f t="shared" si="124"/>
        <v>300</v>
      </c>
      <c r="W121" s="195">
        <f t="shared" ca="1" si="125"/>
        <v>300</v>
      </c>
      <c r="Y121" s="199">
        <f t="shared" ca="1" si="126"/>
        <v>0</v>
      </c>
      <c r="Z121" s="199">
        <f t="shared" ca="1" si="127"/>
        <v>300</v>
      </c>
      <c r="AA121" s="199">
        <f t="shared" ca="1" si="128"/>
        <v>0</v>
      </c>
      <c r="AB121" s="199">
        <f t="shared" ca="1" si="129"/>
        <v>0</v>
      </c>
    </row>
    <row r="122" spans="2:28" ht="18" customHeight="1">
      <c r="B122" s="584"/>
      <c r="C122" s="587"/>
      <c r="D122" s="589"/>
      <c r="E122" s="591"/>
      <c r="F122" s="591"/>
      <c r="G122" s="591"/>
      <c r="H122" s="207" t="s">
        <v>62</v>
      </c>
      <c r="I122" s="207" t="s">
        <v>177</v>
      </c>
      <c r="J122" s="199">
        <f>+' RJ Solar - Actual'!P3</f>
        <v>0</v>
      </c>
      <c r="K122" s="199">
        <f>+' RJ Solar - Actual'!Q3</f>
        <v>0</v>
      </c>
      <c r="L122" s="199">
        <f>+' RJ Solar - Actual'!R3</f>
        <v>0</v>
      </c>
      <c r="M122" s="199">
        <f>+' RJ Solar - Actual'!S3</f>
        <v>0</v>
      </c>
      <c r="N122" s="199">
        <f>+' RJ Solar - Actual'!T3</f>
        <v>150</v>
      </c>
      <c r="O122" s="199">
        <f>+' RJ Solar - Actual'!U3</f>
        <v>0</v>
      </c>
      <c r="P122" s="199">
        <f>+' RJ Solar - Actual'!V3</f>
        <v>0</v>
      </c>
      <c r="Q122" s="199">
        <f>+' RJ Solar - Actual'!W3</f>
        <v>0</v>
      </c>
      <c r="R122" s="199">
        <f>+' RJ Solar - Actual'!X3</f>
        <v>150</v>
      </c>
      <c r="S122" s="199">
        <f>+' RJ Solar - Actual'!Y3</f>
        <v>0</v>
      </c>
      <c r="T122" s="199">
        <f>+' RJ Solar - Actual'!Z3</f>
        <v>0</v>
      </c>
      <c r="U122" s="199">
        <f>+' RJ Solar - Actual'!AA3</f>
        <v>0</v>
      </c>
      <c r="V122" s="195">
        <f t="shared" si="124"/>
        <v>300</v>
      </c>
      <c r="W122" s="195">
        <f t="shared" ca="1" si="125"/>
        <v>150</v>
      </c>
      <c r="Y122" s="199">
        <f t="shared" ca="1" si="126"/>
        <v>0</v>
      </c>
      <c r="Z122" s="199">
        <f t="shared" ca="1" si="127"/>
        <v>150</v>
      </c>
      <c r="AA122" s="199">
        <f t="shared" ca="1" si="128"/>
        <v>150</v>
      </c>
      <c r="AB122" s="199">
        <f t="shared" ca="1" si="129"/>
        <v>0</v>
      </c>
    </row>
    <row r="123" spans="2:28" ht="18" customHeight="1">
      <c r="B123" s="582">
        <v>2</v>
      </c>
      <c r="C123" s="585" t="s">
        <v>33</v>
      </c>
      <c r="D123" s="585" t="s">
        <v>80</v>
      </c>
      <c r="E123" s="582" t="s">
        <v>33</v>
      </c>
      <c r="F123" s="582" t="s">
        <v>193</v>
      </c>
      <c r="G123" s="582">
        <v>50</v>
      </c>
      <c r="H123" s="206" t="s">
        <v>33</v>
      </c>
      <c r="I123" s="206" t="s">
        <v>175</v>
      </c>
      <c r="J123" s="197">
        <f>+' RJ Solar Plan'!P4</f>
        <v>0</v>
      </c>
      <c r="K123" s="197">
        <f>+' RJ Solar Plan'!Q4</f>
        <v>0</v>
      </c>
      <c r="L123" s="197">
        <f>+' RJ Solar Plan'!R4</f>
        <v>50</v>
      </c>
      <c r="M123" s="197">
        <f>+' RJ Solar Plan'!S4</f>
        <v>0</v>
      </c>
      <c r="N123" s="197">
        <f>+' RJ Solar Plan'!T4</f>
        <v>0</v>
      </c>
      <c r="O123" s="197">
        <f>+' RJ Solar Plan'!U4</f>
        <v>0</v>
      </c>
      <c r="P123" s="197">
        <f>+' RJ Solar Plan'!V4</f>
        <v>0</v>
      </c>
      <c r="Q123" s="197">
        <f>+' RJ Solar Plan'!W4</f>
        <v>0</v>
      </c>
      <c r="R123" s="197">
        <f>+' RJ Solar Plan'!X4</f>
        <v>0</v>
      </c>
      <c r="S123" s="197">
        <f>+' RJ Solar Plan'!Y4</f>
        <v>0</v>
      </c>
      <c r="T123" s="197">
        <f>+' RJ Solar Plan'!Z4</f>
        <v>0</v>
      </c>
      <c r="U123" s="197">
        <f>+' RJ Solar Plan'!AA4</f>
        <v>0</v>
      </c>
      <c r="V123" s="194">
        <f t="shared" si="124"/>
        <v>50</v>
      </c>
      <c r="W123" s="194">
        <f t="shared" ca="1" si="125"/>
        <v>50</v>
      </c>
      <c r="Y123" s="197">
        <f t="shared" ca="1" si="126"/>
        <v>50</v>
      </c>
      <c r="Z123" s="197">
        <f t="shared" ca="1" si="127"/>
        <v>0</v>
      </c>
      <c r="AA123" s="197">
        <f t="shared" ca="1" si="128"/>
        <v>0</v>
      </c>
      <c r="AB123" s="197">
        <f t="shared" ca="1" si="129"/>
        <v>0</v>
      </c>
    </row>
    <row r="124" spans="2:28" ht="18" customHeight="1">
      <c r="B124" s="583"/>
      <c r="C124" s="586"/>
      <c r="D124" s="588"/>
      <c r="E124" s="590"/>
      <c r="F124" s="590"/>
      <c r="G124" s="590"/>
      <c r="H124" s="207" t="s">
        <v>33</v>
      </c>
      <c r="I124" s="207" t="s">
        <v>176</v>
      </c>
      <c r="J124" s="199">
        <f>+' RJ Solar Rephase'!P4</f>
        <v>0</v>
      </c>
      <c r="K124" s="199">
        <f>+' RJ Solar Rephase'!Q4</f>
        <v>0</v>
      </c>
      <c r="L124" s="199">
        <f>+' RJ Solar Rephase'!R4</f>
        <v>50</v>
      </c>
      <c r="M124" s="199">
        <f>+' RJ Solar Rephase'!S4</f>
        <v>0</v>
      </c>
      <c r="N124" s="199">
        <f>+' RJ Solar Rephase'!T4</f>
        <v>0</v>
      </c>
      <c r="O124" s="199">
        <f>+' RJ Solar Rephase'!U4</f>
        <v>0</v>
      </c>
      <c r="P124" s="199">
        <f>+' RJ Solar Rephase'!V4</f>
        <v>0</v>
      </c>
      <c r="Q124" s="199">
        <f>+' RJ Solar Rephase'!W4</f>
        <v>0</v>
      </c>
      <c r="R124" s="199">
        <f>+' RJ Solar Rephase'!X4</f>
        <v>0</v>
      </c>
      <c r="S124" s="199">
        <f>+' RJ Solar Rephase'!Y4</f>
        <v>0</v>
      </c>
      <c r="T124" s="199">
        <f>+' RJ Solar Rephase'!Z4</f>
        <v>0</v>
      </c>
      <c r="U124" s="199">
        <f>+' RJ Solar Rephase'!AA4</f>
        <v>0</v>
      </c>
      <c r="V124" s="195">
        <f t="shared" si="124"/>
        <v>50</v>
      </c>
      <c r="W124" s="195">
        <f t="shared" ca="1" si="125"/>
        <v>50</v>
      </c>
      <c r="Y124" s="199">
        <f t="shared" ca="1" si="126"/>
        <v>50</v>
      </c>
      <c r="Z124" s="199">
        <f t="shared" ca="1" si="127"/>
        <v>0</v>
      </c>
      <c r="AA124" s="199">
        <f t="shared" ca="1" si="128"/>
        <v>0</v>
      </c>
      <c r="AB124" s="199">
        <f t="shared" ca="1" si="129"/>
        <v>0</v>
      </c>
    </row>
    <row r="125" spans="2:28" ht="18" customHeight="1">
      <c r="B125" s="584"/>
      <c r="C125" s="587"/>
      <c r="D125" s="589"/>
      <c r="E125" s="591"/>
      <c r="F125" s="591"/>
      <c r="G125" s="591"/>
      <c r="H125" s="207" t="s">
        <v>33</v>
      </c>
      <c r="I125" s="207" t="s">
        <v>177</v>
      </c>
      <c r="J125" s="199">
        <f>+' RJ Solar - Actual'!P4</f>
        <v>0</v>
      </c>
      <c r="K125" s="199">
        <f>+' RJ Solar - Actual'!Q4</f>
        <v>0</v>
      </c>
      <c r="L125" s="199">
        <f>+' RJ Solar - Actual'!R4</f>
        <v>50</v>
      </c>
      <c r="M125" s="199">
        <f>+' RJ Solar - Actual'!S4</f>
        <v>0</v>
      </c>
      <c r="N125" s="199">
        <f>+' RJ Solar - Actual'!T4</f>
        <v>0</v>
      </c>
      <c r="O125" s="199">
        <f>+' RJ Solar - Actual'!U4</f>
        <v>0</v>
      </c>
      <c r="P125" s="199">
        <f>+' RJ Solar - Actual'!V4</f>
        <v>0</v>
      </c>
      <c r="Q125" s="199">
        <f>+' RJ Solar - Actual'!W4</f>
        <v>0</v>
      </c>
      <c r="R125" s="199">
        <f>+' RJ Solar - Actual'!X4</f>
        <v>0</v>
      </c>
      <c r="S125" s="199">
        <f>+' RJ Solar - Actual'!Y4</f>
        <v>0</v>
      </c>
      <c r="T125" s="199">
        <f>+' RJ Solar - Actual'!Z4</f>
        <v>0</v>
      </c>
      <c r="U125" s="199">
        <f>+' RJ Solar - Actual'!AA4</f>
        <v>0</v>
      </c>
      <c r="V125" s="195">
        <f t="shared" si="124"/>
        <v>50</v>
      </c>
      <c r="W125" s="195">
        <f t="shared" ca="1" si="125"/>
        <v>50</v>
      </c>
      <c r="Y125" s="199">
        <f t="shared" ca="1" si="126"/>
        <v>50</v>
      </c>
      <c r="Z125" s="199">
        <f t="shared" ca="1" si="127"/>
        <v>0</v>
      </c>
      <c r="AA125" s="199">
        <f t="shared" ca="1" si="128"/>
        <v>0</v>
      </c>
      <c r="AB125" s="199">
        <f t="shared" ca="1" si="129"/>
        <v>0</v>
      </c>
    </row>
    <row r="126" spans="2:28" ht="18" customHeight="1">
      <c r="B126" s="582">
        <v>3</v>
      </c>
      <c r="C126" s="585" t="s">
        <v>41</v>
      </c>
      <c r="D126" s="585" t="s">
        <v>95</v>
      </c>
      <c r="E126" s="582" t="s">
        <v>44</v>
      </c>
      <c r="F126" s="582" t="s">
        <v>194</v>
      </c>
      <c r="G126" s="582">
        <v>534</v>
      </c>
      <c r="H126" s="206" t="s">
        <v>44</v>
      </c>
      <c r="I126" s="206" t="s">
        <v>175</v>
      </c>
      <c r="J126" s="197">
        <f>+' RJ Solar Plan'!P6</f>
        <v>0</v>
      </c>
      <c r="K126" s="197">
        <f>+' RJ Solar Plan'!Q6</f>
        <v>0</v>
      </c>
      <c r="L126" s="197">
        <f>+' RJ Solar Plan'!R6</f>
        <v>0</v>
      </c>
      <c r="M126" s="197">
        <f>+' RJ Solar Plan'!S6</f>
        <v>0</v>
      </c>
      <c r="N126" s="197">
        <f>+' RJ Solar Plan'!T6</f>
        <v>0</v>
      </c>
      <c r="O126" s="197">
        <f>+' RJ Solar Plan'!U6</f>
        <v>0</v>
      </c>
      <c r="P126" s="197">
        <f>+' RJ Solar Plan'!V6</f>
        <v>0</v>
      </c>
      <c r="Q126" s="197">
        <f>+' RJ Solar Plan'!W6</f>
        <v>250</v>
      </c>
      <c r="R126" s="197">
        <f>+' RJ Solar Plan'!X6</f>
        <v>284</v>
      </c>
      <c r="S126" s="197">
        <f>+' RJ Solar Plan'!Y6</f>
        <v>0</v>
      </c>
      <c r="T126" s="197">
        <f>+' RJ Solar Plan'!Z6</f>
        <v>0</v>
      </c>
      <c r="U126" s="197">
        <f>+' RJ Solar Plan'!AA6</f>
        <v>0</v>
      </c>
      <c r="V126" s="194">
        <f t="shared" si="124"/>
        <v>534</v>
      </c>
      <c r="W126" s="194">
        <f t="shared" ca="1" si="125"/>
        <v>250</v>
      </c>
      <c r="Y126" s="197">
        <f t="shared" ca="1" si="126"/>
        <v>0</v>
      </c>
      <c r="Z126" s="197">
        <f t="shared" ca="1" si="127"/>
        <v>0</v>
      </c>
      <c r="AA126" s="197">
        <f t="shared" ca="1" si="128"/>
        <v>534</v>
      </c>
      <c r="AB126" s="197">
        <f t="shared" ca="1" si="129"/>
        <v>0</v>
      </c>
    </row>
    <row r="127" spans="2:28" ht="18" customHeight="1">
      <c r="B127" s="583"/>
      <c r="C127" s="586"/>
      <c r="D127" s="588"/>
      <c r="E127" s="590"/>
      <c r="F127" s="590"/>
      <c r="G127" s="590"/>
      <c r="H127" s="207" t="s">
        <v>44</v>
      </c>
      <c r="I127" s="207" t="s">
        <v>176</v>
      </c>
      <c r="J127" s="199">
        <f>+' RJ Solar Rephase'!P6</f>
        <v>0</v>
      </c>
      <c r="K127" s="199">
        <f>+' RJ Solar Rephase'!Q6</f>
        <v>0</v>
      </c>
      <c r="L127" s="199">
        <f>+' RJ Solar Rephase'!R6</f>
        <v>0</v>
      </c>
      <c r="M127" s="199">
        <f>+' RJ Solar Rephase'!S6</f>
        <v>0</v>
      </c>
      <c r="N127" s="199">
        <f>+' RJ Solar Rephase'!T6</f>
        <v>0</v>
      </c>
      <c r="O127" s="199">
        <f>+' RJ Solar Rephase'!U6</f>
        <v>0</v>
      </c>
      <c r="P127" s="199">
        <f>+' RJ Solar Rephase'!V6</f>
        <v>0</v>
      </c>
      <c r="Q127" s="199">
        <f>+' RJ Solar Rephase'!W6</f>
        <v>0</v>
      </c>
      <c r="R127" s="199">
        <f>+' RJ Solar Rephase'!X6</f>
        <v>534</v>
      </c>
      <c r="S127" s="199">
        <f>+' RJ Solar Rephase'!Y6</f>
        <v>0</v>
      </c>
      <c r="T127" s="199">
        <f>+' RJ Solar Rephase'!Z6</f>
        <v>0</v>
      </c>
      <c r="U127" s="199">
        <f>+' RJ Solar Rephase'!AA6</f>
        <v>0</v>
      </c>
      <c r="V127" s="195">
        <f t="shared" si="124"/>
        <v>534</v>
      </c>
      <c r="W127" s="195">
        <f t="shared" ca="1" si="125"/>
        <v>0</v>
      </c>
      <c r="Y127" s="199">
        <f t="shared" ca="1" si="126"/>
        <v>0</v>
      </c>
      <c r="Z127" s="199">
        <f t="shared" ca="1" si="127"/>
        <v>0</v>
      </c>
      <c r="AA127" s="199">
        <f t="shared" ca="1" si="128"/>
        <v>534</v>
      </c>
      <c r="AB127" s="199">
        <f t="shared" ca="1" si="129"/>
        <v>0</v>
      </c>
    </row>
    <row r="128" spans="2:28" ht="18" customHeight="1">
      <c r="B128" s="584"/>
      <c r="C128" s="587"/>
      <c r="D128" s="589"/>
      <c r="E128" s="591"/>
      <c r="F128" s="591"/>
      <c r="G128" s="591"/>
      <c r="H128" s="207" t="s">
        <v>44</v>
      </c>
      <c r="I128" s="207" t="s">
        <v>177</v>
      </c>
      <c r="J128" s="199">
        <f>+' RJ Solar - Actual'!P6</f>
        <v>0</v>
      </c>
      <c r="K128" s="199">
        <f>+' RJ Solar - Actual'!Q6</f>
        <v>0</v>
      </c>
      <c r="L128" s="199">
        <f>+' RJ Solar - Actual'!R6</f>
        <v>0</v>
      </c>
      <c r="M128" s="199">
        <f>+' RJ Solar - Actual'!S6</f>
        <v>0</v>
      </c>
      <c r="N128" s="199">
        <f>+' RJ Solar - Actual'!T6</f>
        <v>0</v>
      </c>
      <c r="O128" s="199">
        <f>+' RJ Solar - Actual'!U6</f>
        <v>0</v>
      </c>
      <c r="P128" s="199">
        <f>+' RJ Solar - Actual'!V6</f>
        <v>0</v>
      </c>
      <c r="Q128" s="199">
        <f>+' RJ Solar - Actual'!W6</f>
        <v>0</v>
      </c>
      <c r="R128" s="199">
        <f>+' RJ Solar - Actual'!X6</f>
        <v>0</v>
      </c>
      <c r="S128" s="199">
        <f>+' RJ Solar - Actual'!Y6</f>
        <v>0</v>
      </c>
      <c r="T128" s="199">
        <f>+' RJ Solar - Actual'!Z6</f>
        <v>0</v>
      </c>
      <c r="U128" s="199">
        <f>+' RJ Solar - Actual'!AA6</f>
        <v>0</v>
      </c>
      <c r="V128" s="195">
        <f t="shared" si="124"/>
        <v>0</v>
      </c>
      <c r="W128" s="195">
        <f t="shared" ca="1" si="125"/>
        <v>0</v>
      </c>
      <c r="Y128" s="199">
        <f t="shared" ca="1" si="126"/>
        <v>0</v>
      </c>
      <c r="Z128" s="199">
        <f t="shared" ca="1" si="127"/>
        <v>0</v>
      </c>
      <c r="AA128" s="199">
        <f t="shared" ca="1" si="128"/>
        <v>0</v>
      </c>
      <c r="AB128" s="199">
        <f t="shared" ca="1" si="129"/>
        <v>0</v>
      </c>
    </row>
    <row r="129" spans="2:28" ht="18" customHeight="1">
      <c r="B129" s="582">
        <v>4</v>
      </c>
      <c r="C129" s="585" t="s">
        <v>195</v>
      </c>
      <c r="D129" s="585" t="s">
        <v>186</v>
      </c>
      <c r="E129" s="582" t="s">
        <v>44</v>
      </c>
      <c r="F129" s="582" t="s">
        <v>194</v>
      </c>
      <c r="G129" s="582">
        <v>500</v>
      </c>
      <c r="H129" s="206" t="s">
        <v>44</v>
      </c>
      <c r="I129" s="206" t="s">
        <v>175</v>
      </c>
      <c r="J129" s="197">
        <f>+' RJ Solar Plan'!P7</f>
        <v>0</v>
      </c>
      <c r="K129" s="197">
        <f>+' RJ Solar Plan'!Q7</f>
        <v>0</v>
      </c>
      <c r="L129" s="197">
        <f>+' RJ Solar Plan'!R7</f>
        <v>0</v>
      </c>
      <c r="M129" s="197">
        <f>+' RJ Solar Plan'!S7</f>
        <v>0</v>
      </c>
      <c r="N129" s="197">
        <f>+' RJ Solar Plan'!T7</f>
        <v>0</v>
      </c>
      <c r="O129" s="197">
        <f>+' RJ Solar Plan'!U7</f>
        <v>0</v>
      </c>
      <c r="P129" s="197">
        <f>+' RJ Solar Plan'!V7</f>
        <v>0</v>
      </c>
      <c r="Q129" s="197">
        <f>+' RJ Solar Plan'!W7</f>
        <v>0</v>
      </c>
      <c r="R129" s="197">
        <f>+' RJ Solar Plan'!X7</f>
        <v>200</v>
      </c>
      <c r="S129" s="197">
        <f>+' RJ Solar Plan'!Y7</f>
        <v>300</v>
      </c>
      <c r="T129" s="197">
        <f>+' RJ Solar Plan'!Z7</f>
        <v>0</v>
      </c>
      <c r="U129" s="197">
        <f>+' RJ Solar Plan'!AA7</f>
        <v>0</v>
      </c>
      <c r="V129" s="194">
        <f t="shared" si="124"/>
        <v>500</v>
      </c>
      <c r="W129" s="194">
        <f t="shared" ca="1" si="125"/>
        <v>0</v>
      </c>
      <c r="Y129" s="197">
        <f t="shared" ca="1" si="126"/>
        <v>0</v>
      </c>
      <c r="Z129" s="197">
        <f t="shared" ca="1" si="127"/>
        <v>0</v>
      </c>
      <c r="AA129" s="197">
        <f t="shared" ca="1" si="128"/>
        <v>200</v>
      </c>
      <c r="AB129" s="197">
        <f t="shared" ca="1" si="129"/>
        <v>300</v>
      </c>
    </row>
    <row r="130" spans="2:28" ht="18" customHeight="1">
      <c r="B130" s="583"/>
      <c r="C130" s="586"/>
      <c r="D130" s="588"/>
      <c r="E130" s="590"/>
      <c r="F130" s="590"/>
      <c r="G130" s="590"/>
      <c r="H130" s="207" t="s">
        <v>44</v>
      </c>
      <c r="I130" s="207" t="s">
        <v>176</v>
      </c>
      <c r="J130" s="199">
        <f>+' RJ Solar Rephase'!P7</f>
        <v>0</v>
      </c>
      <c r="K130" s="199">
        <f>+' RJ Solar Rephase'!Q7</f>
        <v>0</v>
      </c>
      <c r="L130" s="199">
        <f>+' RJ Solar Rephase'!R7</f>
        <v>0</v>
      </c>
      <c r="M130" s="199">
        <f>+' RJ Solar Rephase'!S7</f>
        <v>0</v>
      </c>
      <c r="N130" s="199">
        <f>+' RJ Solar Rephase'!T7</f>
        <v>0</v>
      </c>
      <c r="O130" s="199">
        <f>+' RJ Solar Rephase'!U7</f>
        <v>0</v>
      </c>
      <c r="P130" s="199">
        <f>+' RJ Solar Rephase'!V7</f>
        <v>0</v>
      </c>
      <c r="Q130" s="199">
        <f>+' RJ Solar Rephase'!W7</f>
        <v>0</v>
      </c>
      <c r="R130" s="199">
        <f>+' RJ Solar Rephase'!X7</f>
        <v>0</v>
      </c>
      <c r="S130" s="199">
        <f>+' RJ Solar Rephase'!Y7</f>
        <v>250</v>
      </c>
      <c r="T130" s="199">
        <f>+' RJ Solar Rephase'!Z7</f>
        <v>250</v>
      </c>
      <c r="U130" s="199">
        <f>+' RJ Solar Rephase'!AA7</f>
        <v>0</v>
      </c>
      <c r="V130" s="195">
        <f t="shared" si="124"/>
        <v>500</v>
      </c>
      <c r="W130" s="195">
        <f t="shared" ca="1" si="125"/>
        <v>0</v>
      </c>
      <c r="Y130" s="199">
        <f t="shared" ca="1" si="126"/>
        <v>0</v>
      </c>
      <c r="Z130" s="199">
        <f t="shared" ca="1" si="127"/>
        <v>0</v>
      </c>
      <c r="AA130" s="199">
        <f t="shared" ca="1" si="128"/>
        <v>0</v>
      </c>
      <c r="AB130" s="199">
        <f t="shared" ca="1" si="129"/>
        <v>500</v>
      </c>
    </row>
    <row r="131" spans="2:28" ht="18" customHeight="1">
      <c r="B131" s="612"/>
      <c r="C131" s="613"/>
      <c r="D131" s="614"/>
      <c r="E131" s="615"/>
      <c r="F131" s="615"/>
      <c r="G131" s="615"/>
      <c r="H131" s="208" t="s">
        <v>44</v>
      </c>
      <c r="I131" s="208" t="s">
        <v>177</v>
      </c>
      <c r="J131" s="201">
        <f>+' RJ Solar - Actual'!P7</f>
        <v>0</v>
      </c>
      <c r="K131" s="201">
        <f>+' RJ Solar - Actual'!Q7</f>
        <v>0</v>
      </c>
      <c r="L131" s="201">
        <f>+' RJ Solar - Actual'!R7</f>
        <v>0</v>
      </c>
      <c r="M131" s="201">
        <f>+' RJ Solar - Actual'!S7</f>
        <v>0</v>
      </c>
      <c r="N131" s="201">
        <f>+' RJ Solar - Actual'!T7</f>
        <v>0</v>
      </c>
      <c r="O131" s="201">
        <f>+' RJ Solar - Actual'!U7</f>
        <v>0</v>
      </c>
      <c r="P131" s="201">
        <f>+' RJ Solar - Actual'!V7</f>
        <v>0</v>
      </c>
      <c r="Q131" s="201">
        <f>+' RJ Solar - Actual'!W7</f>
        <v>0</v>
      </c>
      <c r="R131" s="201">
        <f>+' RJ Solar - Actual'!X7</f>
        <v>0</v>
      </c>
      <c r="S131" s="201">
        <f>+' RJ Solar - Actual'!Y7</f>
        <v>0</v>
      </c>
      <c r="T131" s="201">
        <f>+' RJ Solar - Actual'!Z7</f>
        <v>0</v>
      </c>
      <c r="U131" s="201">
        <f>+' RJ Solar - Actual'!AA7</f>
        <v>250</v>
      </c>
      <c r="V131" s="196">
        <f t="shared" si="124"/>
        <v>250</v>
      </c>
      <c r="W131" s="196">
        <f t="shared" ca="1" si="125"/>
        <v>0</v>
      </c>
      <c r="Y131" s="201">
        <f t="shared" ca="1" si="126"/>
        <v>0</v>
      </c>
      <c r="Z131" s="201">
        <f t="shared" ca="1" si="127"/>
        <v>0</v>
      </c>
      <c r="AA131" s="201">
        <f t="shared" ca="1" si="128"/>
        <v>0</v>
      </c>
      <c r="AB131" s="201">
        <f t="shared" ca="1" si="129"/>
        <v>250</v>
      </c>
    </row>
    <row r="132" spans="2:28" ht="18" customHeight="1">
      <c r="I132" s="212"/>
    </row>
    <row r="133" spans="2:28" ht="18" customHeight="1">
      <c r="B133" s="603" t="s">
        <v>190</v>
      </c>
      <c r="C133" s="604"/>
      <c r="D133" s="604"/>
      <c r="E133" s="604"/>
      <c r="F133" s="605"/>
      <c r="G133" s="620">
        <f>SUM(G120:G131)</f>
        <v>1384</v>
      </c>
      <c r="H133" s="180"/>
      <c r="I133" s="213" t="s">
        <v>175</v>
      </c>
      <c r="J133" s="111">
        <f>SUM(J134:J136)</f>
        <v>0</v>
      </c>
      <c r="K133" s="111">
        <f t="shared" ref="K133" si="130">SUM(K134:K136)</f>
        <v>0</v>
      </c>
      <c r="L133" s="111">
        <f t="shared" ref="L133" si="131">SUM(L134:L136)</f>
        <v>350</v>
      </c>
      <c r="M133" s="111">
        <f t="shared" ref="M133" si="132">SUM(M134:M136)</f>
        <v>0</v>
      </c>
      <c r="N133" s="111">
        <f t="shared" ref="N133" si="133">SUM(N134:N136)</f>
        <v>0</v>
      </c>
      <c r="O133" s="111">
        <f t="shared" ref="O133" si="134">SUM(O134:O136)</f>
        <v>0</v>
      </c>
      <c r="P133" s="111">
        <f t="shared" ref="P133" si="135">SUM(P134:P136)</f>
        <v>0</v>
      </c>
      <c r="Q133" s="111">
        <f t="shared" ref="Q133" si="136">SUM(Q134:Q136)</f>
        <v>250</v>
      </c>
      <c r="R133" s="111">
        <f t="shared" ref="R133" si="137">SUM(R134:R136)</f>
        <v>484</v>
      </c>
      <c r="S133" s="111">
        <f t="shared" ref="S133" si="138">SUM(S134:S136)</f>
        <v>300</v>
      </c>
      <c r="T133" s="111">
        <f t="shared" ref="T133" si="139">SUM(T134:T136)</f>
        <v>0</v>
      </c>
      <c r="U133" s="111">
        <f t="shared" ref="U133" si="140">SUM(U134:U136)</f>
        <v>0</v>
      </c>
      <c r="V133" s="111">
        <f t="shared" ref="V133:V144" si="141">SUM(J133:U133)</f>
        <v>1384</v>
      </c>
      <c r="W133" s="111">
        <f t="shared" ref="W133:W144" ca="1" si="142">SUM(OFFSET(J133,0,0,1,$A$1))</f>
        <v>600</v>
      </c>
      <c r="Y133" s="111">
        <f t="shared" ref="Y133:Y144" ca="1" si="143">SUM(OFFSET($J133,0,0,1,$A$2))</f>
        <v>350</v>
      </c>
      <c r="Z133" s="111">
        <f t="shared" ref="Z133:Z144" ca="1" si="144">SUM(OFFSET($M133,0,0,1,$A$2))</f>
        <v>0</v>
      </c>
      <c r="AA133" s="111">
        <f t="shared" ref="AA133:AA144" ca="1" si="145">SUM(OFFSET($P133,0,0,1,$A$2))</f>
        <v>734</v>
      </c>
      <c r="AB133" s="111">
        <f t="shared" ref="AB133:AB144" ca="1" si="146">SUM(OFFSET($S133,0,0,1,$A$2))</f>
        <v>300</v>
      </c>
    </row>
    <row r="134" spans="2:28" ht="18" customHeight="1">
      <c r="B134" s="606"/>
      <c r="C134" s="607"/>
      <c r="D134" s="607"/>
      <c r="E134" s="607"/>
      <c r="F134" s="608"/>
      <c r="G134" s="620"/>
      <c r="H134" s="188"/>
      <c r="I134" s="214" t="s">
        <v>44</v>
      </c>
      <c r="J134" s="197">
        <f t="shared" ref="J134:U136" si="147">+SUMIFS(J$120:J$131,$I$120:$I$131,$I$133,$H$120:$H$131,$I134)</f>
        <v>0</v>
      </c>
      <c r="K134" s="197">
        <f t="shared" si="147"/>
        <v>0</v>
      </c>
      <c r="L134" s="197">
        <f t="shared" si="147"/>
        <v>0</v>
      </c>
      <c r="M134" s="197">
        <f t="shared" si="147"/>
        <v>0</v>
      </c>
      <c r="N134" s="197">
        <f t="shared" si="147"/>
        <v>0</v>
      </c>
      <c r="O134" s="197">
        <f t="shared" si="147"/>
        <v>0</v>
      </c>
      <c r="P134" s="197">
        <f t="shared" si="147"/>
        <v>0</v>
      </c>
      <c r="Q134" s="197">
        <f t="shared" si="147"/>
        <v>250</v>
      </c>
      <c r="R134" s="197">
        <f t="shared" si="147"/>
        <v>484</v>
      </c>
      <c r="S134" s="197">
        <f t="shared" si="147"/>
        <v>300</v>
      </c>
      <c r="T134" s="197">
        <f t="shared" si="147"/>
        <v>0</v>
      </c>
      <c r="U134" s="197">
        <f t="shared" si="147"/>
        <v>0</v>
      </c>
      <c r="V134" s="194">
        <f t="shared" si="141"/>
        <v>1034</v>
      </c>
      <c r="W134" s="194">
        <f t="shared" ca="1" si="142"/>
        <v>250</v>
      </c>
      <c r="Y134" s="197">
        <f t="shared" ca="1" si="143"/>
        <v>0</v>
      </c>
      <c r="Z134" s="197">
        <f t="shared" ca="1" si="144"/>
        <v>0</v>
      </c>
      <c r="AA134" s="197">
        <f t="shared" ca="1" si="145"/>
        <v>734</v>
      </c>
      <c r="AB134" s="197">
        <f t="shared" ca="1" si="146"/>
        <v>300</v>
      </c>
    </row>
    <row r="135" spans="2:28" ht="18" customHeight="1">
      <c r="B135" s="606"/>
      <c r="C135" s="607"/>
      <c r="D135" s="607"/>
      <c r="E135" s="607"/>
      <c r="F135" s="608"/>
      <c r="G135" s="620"/>
      <c r="H135" s="189"/>
      <c r="I135" s="215" t="s">
        <v>33</v>
      </c>
      <c r="J135" s="199">
        <f t="shared" si="147"/>
        <v>0</v>
      </c>
      <c r="K135" s="199">
        <f t="shared" si="147"/>
        <v>0</v>
      </c>
      <c r="L135" s="199">
        <f t="shared" si="147"/>
        <v>50</v>
      </c>
      <c r="M135" s="199">
        <f t="shared" si="147"/>
        <v>0</v>
      </c>
      <c r="N135" s="199">
        <f t="shared" si="147"/>
        <v>0</v>
      </c>
      <c r="O135" s="199">
        <f t="shared" si="147"/>
        <v>0</v>
      </c>
      <c r="P135" s="199">
        <f t="shared" si="147"/>
        <v>0</v>
      </c>
      <c r="Q135" s="199">
        <f t="shared" si="147"/>
        <v>0</v>
      </c>
      <c r="R135" s="199">
        <f t="shared" si="147"/>
        <v>0</v>
      </c>
      <c r="S135" s="199">
        <f t="shared" si="147"/>
        <v>0</v>
      </c>
      <c r="T135" s="199">
        <f t="shared" si="147"/>
        <v>0</v>
      </c>
      <c r="U135" s="199">
        <f t="shared" si="147"/>
        <v>0</v>
      </c>
      <c r="V135" s="195">
        <f t="shared" si="141"/>
        <v>50</v>
      </c>
      <c r="W135" s="195">
        <f t="shared" ca="1" si="142"/>
        <v>50</v>
      </c>
      <c r="Y135" s="199">
        <f t="shared" ca="1" si="143"/>
        <v>50</v>
      </c>
      <c r="Z135" s="199">
        <f t="shared" ca="1" si="144"/>
        <v>0</v>
      </c>
      <c r="AA135" s="199">
        <f t="shared" ca="1" si="145"/>
        <v>0</v>
      </c>
      <c r="AB135" s="199">
        <f t="shared" ca="1" si="146"/>
        <v>0</v>
      </c>
    </row>
    <row r="136" spans="2:28" ht="18" customHeight="1">
      <c r="B136" s="606"/>
      <c r="C136" s="607"/>
      <c r="D136" s="607"/>
      <c r="E136" s="607"/>
      <c r="F136" s="608"/>
      <c r="G136" s="620"/>
      <c r="H136" s="190"/>
      <c r="I136" s="216" t="s">
        <v>62</v>
      </c>
      <c r="J136" s="201">
        <f t="shared" si="147"/>
        <v>0</v>
      </c>
      <c r="K136" s="201">
        <f t="shared" si="147"/>
        <v>0</v>
      </c>
      <c r="L136" s="201">
        <f t="shared" si="147"/>
        <v>300</v>
      </c>
      <c r="M136" s="201">
        <f t="shared" si="147"/>
        <v>0</v>
      </c>
      <c r="N136" s="201">
        <f t="shared" si="147"/>
        <v>0</v>
      </c>
      <c r="O136" s="201">
        <f t="shared" si="147"/>
        <v>0</v>
      </c>
      <c r="P136" s="201">
        <f t="shared" si="147"/>
        <v>0</v>
      </c>
      <c r="Q136" s="201">
        <f t="shared" si="147"/>
        <v>0</v>
      </c>
      <c r="R136" s="201">
        <f t="shared" si="147"/>
        <v>0</v>
      </c>
      <c r="S136" s="201">
        <f t="shared" si="147"/>
        <v>0</v>
      </c>
      <c r="T136" s="201">
        <f t="shared" si="147"/>
        <v>0</v>
      </c>
      <c r="U136" s="201">
        <f t="shared" si="147"/>
        <v>0</v>
      </c>
      <c r="V136" s="196">
        <f t="shared" si="141"/>
        <v>300</v>
      </c>
      <c r="W136" s="196">
        <f t="shared" ca="1" si="142"/>
        <v>300</v>
      </c>
      <c r="Y136" s="201">
        <f t="shared" ca="1" si="143"/>
        <v>300</v>
      </c>
      <c r="Z136" s="201">
        <f t="shared" ca="1" si="144"/>
        <v>0</v>
      </c>
      <c r="AA136" s="201">
        <f t="shared" ca="1" si="145"/>
        <v>0</v>
      </c>
      <c r="AB136" s="201">
        <f t="shared" ca="1" si="146"/>
        <v>0</v>
      </c>
    </row>
    <row r="137" spans="2:28" ht="18" customHeight="1">
      <c r="B137" s="606"/>
      <c r="C137" s="607"/>
      <c r="D137" s="607"/>
      <c r="E137" s="607"/>
      <c r="F137" s="608"/>
      <c r="G137" s="620"/>
      <c r="H137" s="180"/>
      <c r="I137" s="213" t="s">
        <v>176</v>
      </c>
      <c r="J137" s="111">
        <f t="shared" ref="J137" si="148">SUM(J138:J140)</f>
        <v>0</v>
      </c>
      <c r="K137" s="111">
        <f t="shared" ref="K137" si="149">SUM(K138:K140)</f>
        <v>0</v>
      </c>
      <c r="L137" s="111">
        <f t="shared" ref="L137" si="150">SUM(L138:L140)</f>
        <v>50</v>
      </c>
      <c r="M137" s="111">
        <f t="shared" ref="M137" si="151">SUM(M138:M140)</f>
        <v>150</v>
      </c>
      <c r="N137" s="111">
        <f t="shared" ref="N137" si="152">SUM(N138:N140)</f>
        <v>150</v>
      </c>
      <c r="O137" s="111">
        <f t="shared" ref="O137" si="153">SUM(O138:O140)</f>
        <v>0</v>
      </c>
      <c r="P137" s="111">
        <f t="shared" ref="P137" si="154">SUM(P138:P140)</f>
        <v>0</v>
      </c>
      <c r="Q137" s="111">
        <f t="shared" ref="Q137" si="155">SUM(Q138:Q140)</f>
        <v>0</v>
      </c>
      <c r="R137" s="111">
        <f t="shared" ref="R137" si="156">SUM(R138:R140)</f>
        <v>534</v>
      </c>
      <c r="S137" s="111">
        <f t="shared" ref="S137" si="157">SUM(S138:S140)</f>
        <v>250</v>
      </c>
      <c r="T137" s="111">
        <f t="shared" ref="T137" si="158">SUM(T138:T140)</f>
        <v>250</v>
      </c>
      <c r="U137" s="111">
        <f t="shared" ref="U137" si="159">SUM(U138:U140)</f>
        <v>0</v>
      </c>
      <c r="V137" s="111">
        <f t="shared" si="141"/>
        <v>1384</v>
      </c>
      <c r="W137" s="111">
        <f t="shared" ca="1" si="142"/>
        <v>350</v>
      </c>
      <c r="Y137" s="111">
        <f t="shared" ca="1" si="143"/>
        <v>50</v>
      </c>
      <c r="Z137" s="111">
        <f t="shared" ca="1" si="144"/>
        <v>300</v>
      </c>
      <c r="AA137" s="111">
        <f t="shared" ca="1" si="145"/>
        <v>534</v>
      </c>
      <c r="AB137" s="111">
        <f t="shared" ca="1" si="146"/>
        <v>500</v>
      </c>
    </row>
    <row r="138" spans="2:28" ht="18" customHeight="1">
      <c r="B138" s="606"/>
      <c r="C138" s="607"/>
      <c r="D138" s="607"/>
      <c r="E138" s="607"/>
      <c r="F138" s="608"/>
      <c r="G138" s="620"/>
      <c r="H138" s="188"/>
      <c r="I138" s="214" t="s">
        <v>44</v>
      </c>
      <c r="J138" s="197">
        <f t="shared" ref="J138:U140" si="160">+SUMIFS(J$120:J$131,$I$120:$I$131,$I$137,$H$120:$H$131,$I138)</f>
        <v>0</v>
      </c>
      <c r="K138" s="197">
        <f t="shared" si="160"/>
        <v>0</v>
      </c>
      <c r="L138" s="197">
        <f t="shared" si="160"/>
        <v>0</v>
      </c>
      <c r="M138" s="197">
        <f t="shared" si="160"/>
        <v>0</v>
      </c>
      <c r="N138" s="197">
        <f t="shared" si="160"/>
        <v>0</v>
      </c>
      <c r="O138" s="197">
        <f t="shared" si="160"/>
        <v>0</v>
      </c>
      <c r="P138" s="197">
        <f t="shared" si="160"/>
        <v>0</v>
      </c>
      <c r="Q138" s="197">
        <f t="shared" si="160"/>
        <v>0</v>
      </c>
      <c r="R138" s="197">
        <f t="shared" si="160"/>
        <v>534</v>
      </c>
      <c r="S138" s="197">
        <f t="shared" si="160"/>
        <v>250</v>
      </c>
      <c r="T138" s="197">
        <f t="shared" si="160"/>
        <v>250</v>
      </c>
      <c r="U138" s="197">
        <f t="shared" si="160"/>
        <v>0</v>
      </c>
      <c r="V138" s="194">
        <f t="shared" si="141"/>
        <v>1034</v>
      </c>
      <c r="W138" s="194">
        <f t="shared" ca="1" si="142"/>
        <v>0</v>
      </c>
      <c r="Y138" s="197">
        <f t="shared" ca="1" si="143"/>
        <v>0</v>
      </c>
      <c r="Z138" s="197">
        <f t="shared" ca="1" si="144"/>
        <v>0</v>
      </c>
      <c r="AA138" s="197">
        <f t="shared" ca="1" si="145"/>
        <v>534</v>
      </c>
      <c r="AB138" s="197">
        <f t="shared" ca="1" si="146"/>
        <v>500</v>
      </c>
    </row>
    <row r="139" spans="2:28" ht="18" customHeight="1">
      <c r="B139" s="606"/>
      <c r="C139" s="607"/>
      <c r="D139" s="607"/>
      <c r="E139" s="607"/>
      <c r="F139" s="608"/>
      <c r="G139" s="620"/>
      <c r="H139" s="189"/>
      <c r="I139" s="215" t="s">
        <v>33</v>
      </c>
      <c r="J139" s="199">
        <f t="shared" si="160"/>
        <v>0</v>
      </c>
      <c r="K139" s="199">
        <f t="shared" si="160"/>
        <v>0</v>
      </c>
      <c r="L139" s="199">
        <f t="shared" si="160"/>
        <v>50</v>
      </c>
      <c r="M139" s="199">
        <f t="shared" si="160"/>
        <v>0</v>
      </c>
      <c r="N139" s="199">
        <f t="shared" si="160"/>
        <v>0</v>
      </c>
      <c r="O139" s="199">
        <f t="shared" si="160"/>
        <v>0</v>
      </c>
      <c r="P139" s="199">
        <f t="shared" si="160"/>
        <v>0</v>
      </c>
      <c r="Q139" s="199">
        <f t="shared" si="160"/>
        <v>0</v>
      </c>
      <c r="R139" s="199">
        <f t="shared" si="160"/>
        <v>0</v>
      </c>
      <c r="S139" s="199">
        <f t="shared" si="160"/>
        <v>0</v>
      </c>
      <c r="T139" s="199">
        <f t="shared" si="160"/>
        <v>0</v>
      </c>
      <c r="U139" s="199">
        <f t="shared" si="160"/>
        <v>0</v>
      </c>
      <c r="V139" s="195">
        <f t="shared" si="141"/>
        <v>50</v>
      </c>
      <c r="W139" s="195">
        <f t="shared" ca="1" si="142"/>
        <v>50</v>
      </c>
      <c r="Y139" s="199">
        <f t="shared" ca="1" si="143"/>
        <v>50</v>
      </c>
      <c r="Z139" s="199">
        <f t="shared" ca="1" si="144"/>
        <v>0</v>
      </c>
      <c r="AA139" s="199">
        <f t="shared" ca="1" si="145"/>
        <v>0</v>
      </c>
      <c r="AB139" s="199">
        <f t="shared" ca="1" si="146"/>
        <v>0</v>
      </c>
    </row>
    <row r="140" spans="2:28" ht="18" customHeight="1">
      <c r="B140" s="606"/>
      <c r="C140" s="607"/>
      <c r="D140" s="607"/>
      <c r="E140" s="607"/>
      <c r="F140" s="608"/>
      <c r="G140" s="620"/>
      <c r="H140" s="190"/>
      <c r="I140" s="216" t="s">
        <v>62</v>
      </c>
      <c r="J140" s="201">
        <f t="shared" si="160"/>
        <v>0</v>
      </c>
      <c r="K140" s="201">
        <f t="shared" si="160"/>
        <v>0</v>
      </c>
      <c r="L140" s="201">
        <f t="shared" si="160"/>
        <v>0</v>
      </c>
      <c r="M140" s="201">
        <f t="shared" si="160"/>
        <v>150</v>
      </c>
      <c r="N140" s="201">
        <f t="shared" si="160"/>
        <v>150</v>
      </c>
      <c r="O140" s="201">
        <f t="shared" si="160"/>
        <v>0</v>
      </c>
      <c r="P140" s="201">
        <f t="shared" si="160"/>
        <v>0</v>
      </c>
      <c r="Q140" s="201">
        <f t="shared" si="160"/>
        <v>0</v>
      </c>
      <c r="R140" s="201">
        <f t="shared" si="160"/>
        <v>0</v>
      </c>
      <c r="S140" s="201">
        <f t="shared" si="160"/>
        <v>0</v>
      </c>
      <c r="T140" s="201">
        <f t="shared" si="160"/>
        <v>0</v>
      </c>
      <c r="U140" s="201">
        <f t="shared" si="160"/>
        <v>0</v>
      </c>
      <c r="V140" s="196">
        <f t="shared" si="141"/>
        <v>300</v>
      </c>
      <c r="W140" s="196">
        <f t="shared" ca="1" si="142"/>
        <v>300</v>
      </c>
      <c r="Y140" s="201">
        <f t="shared" ca="1" si="143"/>
        <v>0</v>
      </c>
      <c r="Z140" s="201">
        <f t="shared" ca="1" si="144"/>
        <v>300</v>
      </c>
      <c r="AA140" s="201">
        <f t="shared" ca="1" si="145"/>
        <v>0</v>
      </c>
      <c r="AB140" s="201">
        <f t="shared" ca="1" si="146"/>
        <v>0</v>
      </c>
    </row>
    <row r="141" spans="2:28" ht="18" customHeight="1">
      <c r="B141" s="606"/>
      <c r="C141" s="607"/>
      <c r="D141" s="607"/>
      <c r="E141" s="607"/>
      <c r="F141" s="608"/>
      <c r="G141" s="620"/>
      <c r="H141" s="180"/>
      <c r="I141" s="213" t="s">
        <v>177</v>
      </c>
      <c r="J141" s="111">
        <f t="shared" ref="J141" si="161">SUM(J142:J144)</f>
        <v>0</v>
      </c>
      <c r="K141" s="111">
        <f t="shared" ref="K141" si="162">SUM(K142:K144)</f>
        <v>0</v>
      </c>
      <c r="L141" s="111">
        <f t="shared" ref="L141" si="163">SUM(L142:L144)</f>
        <v>50</v>
      </c>
      <c r="M141" s="111">
        <f t="shared" ref="M141" si="164">SUM(M142:M144)</f>
        <v>0</v>
      </c>
      <c r="N141" s="111">
        <f t="shared" ref="N141" si="165">SUM(N142:N144)</f>
        <v>150</v>
      </c>
      <c r="O141" s="111">
        <f t="shared" ref="O141" si="166">SUM(O142:O144)</f>
        <v>0</v>
      </c>
      <c r="P141" s="111">
        <f t="shared" ref="P141" si="167">SUM(P142:P144)</f>
        <v>0</v>
      </c>
      <c r="Q141" s="111">
        <f t="shared" ref="Q141" si="168">SUM(Q142:Q144)</f>
        <v>0</v>
      </c>
      <c r="R141" s="111">
        <f t="shared" ref="R141" si="169">SUM(R142:R144)</f>
        <v>150</v>
      </c>
      <c r="S141" s="111">
        <f t="shared" ref="S141" si="170">SUM(S142:S144)</f>
        <v>0</v>
      </c>
      <c r="T141" s="111">
        <f t="shared" ref="T141" si="171">SUM(T142:T144)</f>
        <v>0</v>
      </c>
      <c r="U141" s="111">
        <f t="shared" ref="U141" si="172">SUM(U142:U144)</f>
        <v>250</v>
      </c>
      <c r="V141" s="111">
        <f t="shared" si="141"/>
        <v>600</v>
      </c>
      <c r="W141" s="111">
        <f t="shared" ca="1" si="142"/>
        <v>200</v>
      </c>
      <c r="Y141" s="111">
        <f t="shared" ca="1" si="143"/>
        <v>50</v>
      </c>
      <c r="Z141" s="111">
        <f t="shared" ca="1" si="144"/>
        <v>150</v>
      </c>
      <c r="AA141" s="111">
        <f t="shared" ca="1" si="145"/>
        <v>150</v>
      </c>
      <c r="AB141" s="111">
        <f t="shared" ca="1" si="146"/>
        <v>250</v>
      </c>
    </row>
    <row r="142" spans="2:28" ht="18" customHeight="1">
      <c r="B142" s="606"/>
      <c r="C142" s="607"/>
      <c r="D142" s="607"/>
      <c r="E142" s="607"/>
      <c r="F142" s="608"/>
      <c r="G142" s="620"/>
      <c r="H142" s="188"/>
      <c r="I142" s="214" t="s">
        <v>44</v>
      </c>
      <c r="J142" s="197">
        <f t="shared" ref="J142:U144" si="173">+SUMIFS(J$120:J$131,$I$120:$I$131,$I$141,$H$120:$H$131,$I142)</f>
        <v>0</v>
      </c>
      <c r="K142" s="197">
        <f t="shared" si="173"/>
        <v>0</v>
      </c>
      <c r="L142" s="197">
        <f t="shared" si="173"/>
        <v>0</v>
      </c>
      <c r="M142" s="197">
        <f t="shared" si="173"/>
        <v>0</v>
      </c>
      <c r="N142" s="197">
        <f t="shared" si="173"/>
        <v>0</v>
      </c>
      <c r="O142" s="197">
        <f t="shared" si="173"/>
        <v>0</v>
      </c>
      <c r="P142" s="197">
        <f t="shared" si="173"/>
        <v>0</v>
      </c>
      <c r="Q142" s="197">
        <f t="shared" si="173"/>
        <v>0</v>
      </c>
      <c r="R142" s="197">
        <f t="shared" si="173"/>
        <v>0</v>
      </c>
      <c r="S142" s="197">
        <f t="shared" si="173"/>
        <v>0</v>
      </c>
      <c r="T142" s="197">
        <f t="shared" si="173"/>
        <v>0</v>
      </c>
      <c r="U142" s="197">
        <f t="shared" si="173"/>
        <v>250</v>
      </c>
      <c r="V142" s="194">
        <f t="shared" si="141"/>
        <v>250</v>
      </c>
      <c r="W142" s="194">
        <f t="shared" ca="1" si="142"/>
        <v>0</v>
      </c>
      <c r="Y142" s="197">
        <f t="shared" ca="1" si="143"/>
        <v>0</v>
      </c>
      <c r="Z142" s="197">
        <f t="shared" ca="1" si="144"/>
        <v>0</v>
      </c>
      <c r="AA142" s="197">
        <f t="shared" ca="1" si="145"/>
        <v>0</v>
      </c>
      <c r="AB142" s="197">
        <f t="shared" ca="1" si="146"/>
        <v>250</v>
      </c>
    </row>
    <row r="143" spans="2:28" ht="18" customHeight="1">
      <c r="B143" s="606"/>
      <c r="C143" s="607"/>
      <c r="D143" s="607"/>
      <c r="E143" s="607"/>
      <c r="F143" s="608"/>
      <c r="G143" s="620"/>
      <c r="H143" s="189"/>
      <c r="I143" s="215" t="s">
        <v>33</v>
      </c>
      <c r="J143" s="199">
        <f t="shared" si="173"/>
        <v>0</v>
      </c>
      <c r="K143" s="199">
        <f t="shared" si="173"/>
        <v>0</v>
      </c>
      <c r="L143" s="199">
        <f t="shared" si="173"/>
        <v>50</v>
      </c>
      <c r="M143" s="199">
        <f t="shared" si="173"/>
        <v>0</v>
      </c>
      <c r="N143" s="199">
        <f t="shared" si="173"/>
        <v>0</v>
      </c>
      <c r="O143" s="199">
        <f t="shared" si="173"/>
        <v>0</v>
      </c>
      <c r="P143" s="199">
        <f t="shared" si="173"/>
        <v>0</v>
      </c>
      <c r="Q143" s="199">
        <f t="shared" si="173"/>
        <v>0</v>
      </c>
      <c r="R143" s="199">
        <f t="shared" si="173"/>
        <v>0</v>
      </c>
      <c r="S143" s="199">
        <f t="shared" si="173"/>
        <v>0</v>
      </c>
      <c r="T143" s="199">
        <f t="shared" si="173"/>
        <v>0</v>
      </c>
      <c r="U143" s="199">
        <f t="shared" si="173"/>
        <v>0</v>
      </c>
      <c r="V143" s="195">
        <f t="shared" si="141"/>
        <v>50</v>
      </c>
      <c r="W143" s="195">
        <f t="shared" ca="1" si="142"/>
        <v>50</v>
      </c>
      <c r="Y143" s="199">
        <f t="shared" ca="1" si="143"/>
        <v>50</v>
      </c>
      <c r="Z143" s="199">
        <f t="shared" ca="1" si="144"/>
        <v>0</v>
      </c>
      <c r="AA143" s="199">
        <f t="shared" ca="1" si="145"/>
        <v>0</v>
      </c>
      <c r="AB143" s="199">
        <f t="shared" ca="1" si="146"/>
        <v>0</v>
      </c>
    </row>
    <row r="144" spans="2:28" ht="18" customHeight="1">
      <c r="B144" s="609"/>
      <c r="C144" s="610"/>
      <c r="D144" s="610"/>
      <c r="E144" s="610"/>
      <c r="F144" s="611"/>
      <c r="G144" s="620"/>
      <c r="H144" s="190"/>
      <c r="I144" s="216" t="s">
        <v>62</v>
      </c>
      <c r="J144" s="201">
        <f t="shared" si="173"/>
        <v>0</v>
      </c>
      <c r="K144" s="201">
        <f t="shared" si="173"/>
        <v>0</v>
      </c>
      <c r="L144" s="201">
        <f t="shared" si="173"/>
        <v>0</v>
      </c>
      <c r="M144" s="201">
        <f t="shared" si="173"/>
        <v>0</v>
      </c>
      <c r="N144" s="201">
        <f t="shared" si="173"/>
        <v>150</v>
      </c>
      <c r="O144" s="201">
        <f t="shared" si="173"/>
        <v>0</v>
      </c>
      <c r="P144" s="201">
        <f t="shared" si="173"/>
        <v>0</v>
      </c>
      <c r="Q144" s="201">
        <f t="shared" si="173"/>
        <v>0</v>
      </c>
      <c r="R144" s="201">
        <f t="shared" si="173"/>
        <v>150</v>
      </c>
      <c r="S144" s="201">
        <f t="shared" si="173"/>
        <v>0</v>
      </c>
      <c r="T144" s="201">
        <f t="shared" si="173"/>
        <v>0</v>
      </c>
      <c r="U144" s="201">
        <f t="shared" si="173"/>
        <v>0</v>
      </c>
      <c r="V144" s="196">
        <f t="shared" si="141"/>
        <v>300</v>
      </c>
      <c r="W144" s="196">
        <f t="shared" ca="1" si="142"/>
        <v>150</v>
      </c>
      <c r="Y144" s="201">
        <f t="shared" ca="1" si="143"/>
        <v>0</v>
      </c>
      <c r="Z144" s="201">
        <f t="shared" ca="1" si="144"/>
        <v>150</v>
      </c>
      <c r="AA144" s="201">
        <f t="shared" ca="1" si="145"/>
        <v>150</v>
      </c>
      <c r="AB144" s="201">
        <f t="shared" ca="1" si="146"/>
        <v>0</v>
      </c>
    </row>
    <row r="145" spans="2:28" ht="15" customHeight="1"/>
    <row r="146" spans="2:28" s="171" customFormat="1" ht="18" customHeight="1">
      <c r="B146" s="191" t="s">
        <v>196</v>
      </c>
      <c r="C146" s="112"/>
      <c r="D146" s="112"/>
      <c r="E146" s="112"/>
      <c r="F146" s="112"/>
      <c r="G146" s="112"/>
      <c r="H146" s="112"/>
      <c r="I146" s="211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3"/>
      <c r="W146" s="193"/>
      <c r="Y146" s="218"/>
      <c r="Z146" s="218"/>
      <c r="AA146" s="218"/>
      <c r="AB146" s="218"/>
    </row>
    <row r="147" spans="2:28" ht="18" customHeight="1">
      <c r="B147" s="582">
        <v>3</v>
      </c>
      <c r="C147" s="585" t="s">
        <v>197</v>
      </c>
      <c r="D147" s="585" t="s">
        <v>198</v>
      </c>
      <c r="E147" s="582" t="s">
        <v>44</v>
      </c>
      <c r="F147" s="582" t="s">
        <v>199</v>
      </c>
      <c r="G147" s="582">
        <v>600</v>
      </c>
      <c r="H147" s="206" t="s">
        <v>44</v>
      </c>
      <c r="I147" s="206" t="s">
        <v>175</v>
      </c>
      <c r="J147" s="197">
        <f>+' RJ Solar Plan'!P5</f>
        <v>0</v>
      </c>
      <c r="K147" s="197">
        <f>+' RJ Solar Plan'!Q5</f>
        <v>0</v>
      </c>
      <c r="L147" s="197">
        <f>+' RJ Solar Plan'!R5</f>
        <v>0</v>
      </c>
      <c r="M147" s="197">
        <f>+' RJ Solar Plan'!S5</f>
        <v>0</v>
      </c>
      <c r="N147" s="197">
        <f>+' RJ Solar Plan'!T5</f>
        <v>0</v>
      </c>
      <c r="O147" s="197">
        <f>+' RJ Solar Plan'!U5</f>
        <v>0</v>
      </c>
      <c r="P147" s="197">
        <f>+' RJ Solar Plan'!V5</f>
        <v>0</v>
      </c>
      <c r="Q147" s="197">
        <f>+' RJ Solar Plan'!W5</f>
        <v>0</v>
      </c>
      <c r="R147" s="197">
        <f>+' RJ Solar Plan'!X5</f>
        <v>0</v>
      </c>
      <c r="S147" s="197">
        <f>+' RJ Solar Plan'!Y5</f>
        <v>0</v>
      </c>
      <c r="T147" s="197">
        <f>+' RJ Solar Plan'!Z5</f>
        <v>0</v>
      </c>
      <c r="U147" s="197">
        <f>+' RJ Solar Plan'!AA5</f>
        <v>0</v>
      </c>
      <c r="V147" s="194">
        <f t="shared" ref="V147:V149" si="174">SUM(J147:U147)</f>
        <v>0</v>
      </c>
      <c r="W147" s="194">
        <f t="shared" ref="W147:W149" ca="1" si="175">SUM(OFFSET(J147,0,0,1,$A$1))</f>
        <v>0</v>
      </c>
      <c r="Y147" s="197">
        <f ca="1">SUM(OFFSET($J147,0,0,1,$A$2))</f>
        <v>0</v>
      </c>
      <c r="Z147" s="197">
        <f ca="1">SUM(OFFSET($M147,0,0,1,$A$2))</f>
        <v>0</v>
      </c>
      <c r="AA147" s="197">
        <f ca="1">SUM(OFFSET($P147,0,0,1,$A$2))</f>
        <v>0</v>
      </c>
      <c r="AB147" s="197">
        <f ca="1">SUM(OFFSET($S147,0,0,1,$A$2))</f>
        <v>0</v>
      </c>
    </row>
    <row r="148" spans="2:28" ht="18" customHeight="1">
      <c r="B148" s="583"/>
      <c r="C148" s="586"/>
      <c r="D148" s="588"/>
      <c r="E148" s="590"/>
      <c r="F148" s="590"/>
      <c r="G148" s="590"/>
      <c r="H148" s="207" t="s">
        <v>44</v>
      </c>
      <c r="I148" s="207" t="s">
        <v>176</v>
      </c>
      <c r="J148" s="199">
        <f>+' RJ Solar Rephase'!P5</f>
        <v>0</v>
      </c>
      <c r="K148" s="199">
        <f>+' RJ Solar Rephase'!Q5</f>
        <v>0</v>
      </c>
      <c r="L148" s="199">
        <f>+' RJ Solar Rephase'!R5</f>
        <v>0</v>
      </c>
      <c r="M148" s="199">
        <f>+' RJ Solar Rephase'!S5</f>
        <v>0</v>
      </c>
      <c r="N148" s="199">
        <f>+' RJ Solar Rephase'!T5</f>
        <v>0</v>
      </c>
      <c r="O148" s="199">
        <f>+' RJ Solar Rephase'!U5</f>
        <v>0</v>
      </c>
      <c r="P148" s="199">
        <f>+' RJ Solar Rephase'!V5</f>
        <v>0</v>
      </c>
      <c r="Q148" s="199">
        <f>+' RJ Solar Rephase'!W5</f>
        <v>0</v>
      </c>
      <c r="R148" s="199">
        <f>+' RJ Solar Rephase'!X5</f>
        <v>0</v>
      </c>
      <c r="S148" s="199">
        <f>+' RJ Solar Rephase'!Y5</f>
        <v>0</v>
      </c>
      <c r="T148" s="199">
        <f>+' RJ Solar Rephase'!Z5</f>
        <v>0</v>
      </c>
      <c r="U148" s="199">
        <f>+' RJ Solar Rephase'!AA5</f>
        <v>0</v>
      </c>
      <c r="V148" s="195">
        <f t="shared" si="174"/>
        <v>0</v>
      </c>
      <c r="W148" s="195">
        <f t="shared" ca="1" si="175"/>
        <v>0</v>
      </c>
      <c r="Y148" s="199">
        <f ca="1">SUM(OFFSET($J148,0,0,1,$A$2))</f>
        <v>0</v>
      </c>
      <c r="Z148" s="199">
        <f ca="1">SUM(OFFSET($M148,0,0,1,$A$2))</f>
        <v>0</v>
      </c>
      <c r="AA148" s="199">
        <f ca="1">SUM(OFFSET($P148,0,0,1,$A$2))</f>
        <v>0</v>
      </c>
      <c r="AB148" s="199">
        <f ca="1">SUM(OFFSET($S148,0,0,1,$A$2))</f>
        <v>0</v>
      </c>
    </row>
    <row r="149" spans="2:28" ht="18" customHeight="1">
      <c r="B149" s="612"/>
      <c r="C149" s="613"/>
      <c r="D149" s="614"/>
      <c r="E149" s="615"/>
      <c r="F149" s="615"/>
      <c r="G149" s="615"/>
      <c r="H149" s="208" t="s">
        <v>44</v>
      </c>
      <c r="I149" s="208" t="s">
        <v>177</v>
      </c>
      <c r="J149" s="201">
        <f>+' RJ Solar - Actual'!P5</f>
        <v>0</v>
      </c>
      <c r="K149" s="201">
        <f>+' RJ Solar - Actual'!Q5</f>
        <v>0</v>
      </c>
      <c r="L149" s="201">
        <f>+' RJ Solar - Actual'!R5</f>
        <v>0</v>
      </c>
      <c r="M149" s="201">
        <f>+' RJ Solar - Actual'!S5</f>
        <v>0</v>
      </c>
      <c r="N149" s="201">
        <f>+' RJ Solar - Actual'!T5</f>
        <v>0</v>
      </c>
      <c r="O149" s="201">
        <f>+' RJ Solar - Actual'!U5</f>
        <v>0</v>
      </c>
      <c r="P149" s="201">
        <f>+' RJ Solar - Actual'!V5</f>
        <v>0</v>
      </c>
      <c r="Q149" s="201">
        <f>+' RJ Solar - Actual'!W5</f>
        <v>0</v>
      </c>
      <c r="R149" s="201">
        <f>+' RJ Solar - Actual'!X5</f>
        <v>0</v>
      </c>
      <c r="S149" s="201">
        <f>+' RJ Solar - Actual'!Y5</f>
        <v>0</v>
      </c>
      <c r="T149" s="201">
        <f>+' RJ Solar - Actual'!Z5</f>
        <v>0</v>
      </c>
      <c r="U149" s="201">
        <f>+' RJ Solar - Actual'!AA5</f>
        <v>300</v>
      </c>
      <c r="V149" s="196">
        <f t="shared" si="174"/>
        <v>300</v>
      </c>
      <c r="W149" s="196">
        <f t="shared" ca="1" si="175"/>
        <v>0</v>
      </c>
      <c r="Y149" s="201">
        <f ca="1">SUM(OFFSET($J149,0,0,1,$A$2))</f>
        <v>0</v>
      </c>
      <c r="Z149" s="201">
        <f ca="1">SUM(OFFSET($M149,0,0,1,$A$2))</f>
        <v>0</v>
      </c>
      <c r="AA149" s="201">
        <f ca="1">SUM(OFFSET($P149,0,0,1,$A$2))</f>
        <v>0</v>
      </c>
      <c r="AB149" s="201">
        <f ca="1">SUM(OFFSET($S149,0,0,1,$A$2))</f>
        <v>300</v>
      </c>
    </row>
    <row r="151" spans="2:28" ht="18" customHeight="1">
      <c r="B151" s="603" t="s">
        <v>200</v>
      </c>
      <c r="C151" s="604"/>
      <c r="D151" s="604"/>
      <c r="E151" s="604"/>
      <c r="F151" s="605"/>
      <c r="G151" s="602">
        <f>G147</f>
        <v>600</v>
      </c>
      <c r="H151" s="180"/>
      <c r="I151" s="223" t="s">
        <v>175</v>
      </c>
      <c r="J151" s="111">
        <f>SUM(J152:J154)</f>
        <v>0</v>
      </c>
      <c r="K151" s="111">
        <f t="shared" ref="K151:U151" si="176">SUM(K152:K154)</f>
        <v>0</v>
      </c>
      <c r="L151" s="111">
        <f t="shared" si="176"/>
        <v>0</v>
      </c>
      <c r="M151" s="111">
        <f t="shared" si="176"/>
        <v>0</v>
      </c>
      <c r="N151" s="111">
        <f t="shared" si="176"/>
        <v>0</v>
      </c>
      <c r="O151" s="111">
        <f t="shared" si="176"/>
        <v>0</v>
      </c>
      <c r="P151" s="111">
        <f t="shared" si="176"/>
        <v>0</v>
      </c>
      <c r="Q151" s="111">
        <f t="shared" si="176"/>
        <v>0</v>
      </c>
      <c r="R151" s="111">
        <f t="shared" si="176"/>
        <v>0</v>
      </c>
      <c r="S151" s="111">
        <f t="shared" si="176"/>
        <v>0</v>
      </c>
      <c r="T151" s="111">
        <f t="shared" si="176"/>
        <v>0</v>
      </c>
      <c r="U151" s="111">
        <f t="shared" si="176"/>
        <v>0</v>
      </c>
      <c r="V151" s="111">
        <f t="shared" ref="V151:V159" si="177">SUM(J151:U151)</f>
        <v>0</v>
      </c>
      <c r="W151" s="111">
        <f t="shared" ref="W151:W159" ca="1" si="178">SUM(OFFSET(J151,0,0,1,$A$1))</f>
        <v>0</v>
      </c>
      <c r="Y151" s="111">
        <f t="shared" ref="Y151:Y162" ca="1" si="179">SUM(OFFSET($J151,0,0,1,$A$2))</f>
        <v>0</v>
      </c>
      <c r="Z151" s="111">
        <f t="shared" ref="Z151:Z162" ca="1" si="180">SUM(OFFSET($M151,0,0,1,$A$2))</f>
        <v>0</v>
      </c>
      <c r="AA151" s="111">
        <f t="shared" ref="AA151:AA162" ca="1" si="181">SUM(OFFSET($P151,0,0,1,$A$2))</f>
        <v>0</v>
      </c>
      <c r="AB151" s="111">
        <f t="shared" ref="AB151:AB162" ca="1" si="182">SUM(OFFSET($S151,0,0,1,$A$2))</f>
        <v>0</v>
      </c>
    </row>
    <row r="152" spans="2:28" ht="18" customHeight="1">
      <c r="B152" s="606"/>
      <c r="C152" s="607"/>
      <c r="D152" s="607"/>
      <c r="E152" s="607"/>
      <c r="F152" s="608"/>
      <c r="G152" s="602"/>
      <c r="H152" s="188"/>
      <c r="I152" s="214" t="s">
        <v>44</v>
      </c>
      <c r="J152" s="197">
        <f>+SUMIFS(J$147:J$149,$I$147:$I$149,$I$151,$H$147:$H$149,$I152)</f>
        <v>0</v>
      </c>
      <c r="K152" s="197">
        <f t="shared" ref="K152:U154" si="183">+SUMIFS(K$147:K$149,$I$147:$I$149,$I$151,$H$147:$H$149,$I152)</f>
        <v>0</v>
      </c>
      <c r="L152" s="197">
        <f t="shared" si="183"/>
        <v>0</v>
      </c>
      <c r="M152" s="197">
        <f t="shared" si="183"/>
        <v>0</v>
      </c>
      <c r="N152" s="197">
        <f t="shared" si="183"/>
        <v>0</v>
      </c>
      <c r="O152" s="197">
        <f t="shared" si="183"/>
        <v>0</v>
      </c>
      <c r="P152" s="197">
        <f t="shared" si="183"/>
        <v>0</v>
      </c>
      <c r="Q152" s="197">
        <f t="shared" si="183"/>
        <v>0</v>
      </c>
      <c r="R152" s="197">
        <f t="shared" si="183"/>
        <v>0</v>
      </c>
      <c r="S152" s="197">
        <f t="shared" si="183"/>
        <v>0</v>
      </c>
      <c r="T152" s="197">
        <f t="shared" si="183"/>
        <v>0</v>
      </c>
      <c r="U152" s="197">
        <f t="shared" si="183"/>
        <v>0</v>
      </c>
      <c r="V152" s="194">
        <f t="shared" si="177"/>
        <v>0</v>
      </c>
      <c r="W152" s="194">
        <f t="shared" ca="1" si="178"/>
        <v>0</v>
      </c>
      <c r="Y152" s="197">
        <f t="shared" ca="1" si="179"/>
        <v>0</v>
      </c>
      <c r="Z152" s="197">
        <f t="shared" ca="1" si="180"/>
        <v>0</v>
      </c>
      <c r="AA152" s="197">
        <f t="shared" ca="1" si="181"/>
        <v>0</v>
      </c>
      <c r="AB152" s="197">
        <f t="shared" ca="1" si="182"/>
        <v>0</v>
      </c>
    </row>
    <row r="153" spans="2:28" ht="18" customHeight="1">
      <c r="B153" s="606"/>
      <c r="C153" s="607"/>
      <c r="D153" s="607"/>
      <c r="E153" s="607"/>
      <c r="F153" s="608"/>
      <c r="G153" s="602"/>
      <c r="H153" s="189"/>
      <c r="I153" s="215" t="s">
        <v>33</v>
      </c>
      <c r="J153" s="199">
        <f t="shared" ref="J153:J154" si="184">+SUMIFS(J$147:J$149,$I$147:$I$149,$I$151,$H$147:$H$149,$I153)</f>
        <v>0</v>
      </c>
      <c r="K153" s="199">
        <f t="shared" si="183"/>
        <v>0</v>
      </c>
      <c r="L153" s="199">
        <f t="shared" si="183"/>
        <v>0</v>
      </c>
      <c r="M153" s="199">
        <f t="shared" si="183"/>
        <v>0</v>
      </c>
      <c r="N153" s="199">
        <f t="shared" si="183"/>
        <v>0</v>
      </c>
      <c r="O153" s="199">
        <f t="shared" si="183"/>
        <v>0</v>
      </c>
      <c r="P153" s="199">
        <f t="shared" si="183"/>
        <v>0</v>
      </c>
      <c r="Q153" s="199">
        <f t="shared" si="183"/>
        <v>0</v>
      </c>
      <c r="R153" s="199">
        <f t="shared" si="183"/>
        <v>0</v>
      </c>
      <c r="S153" s="199">
        <f t="shared" si="183"/>
        <v>0</v>
      </c>
      <c r="T153" s="199">
        <f t="shared" si="183"/>
        <v>0</v>
      </c>
      <c r="U153" s="199">
        <f t="shared" si="183"/>
        <v>0</v>
      </c>
      <c r="V153" s="195">
        <f t="shared" si="177"/>
        <v>0</v>
      </c>
      <c r="W153" s="195">
        <f t="shared" ca="1" si="178"/>
        <v>0</v>
      </c>
      <c r="Y153" s="199">
        <f t="shared" ca="1" si="179"/>
        <v>0</v>
      </c>
      <c r="Z153" s="199">
        <f t="shared" ca="1" si="180"/>
        <v>0</v>
      </c>
      <c r="AA153" s="199">
        <f t="shared" ca="1" si="181"/>
        <v>0</v>
      </c>
      <c r="AB153" s="199">
        <f t="shared" ca="1" si="182"/>
        <v>0</v>
      </c>
    </row>
    <row r="154" spans="2:28" ht="18" customHeight="1">
      <c r="B154" s="606"/>
      <c r="C154" s="607"/>
      <c r="D154" s="607"/>
      <c r="E154" s="607"/>
      <c r="F154" s="608"/>
      <c r="G154" s="602"/>
      <c r="H154" s="190"/>
      <c r="I154" s="216" t="s">
        <v>62</v>
      </c>
      <c r="J154" s="201">
        <f t="shared" si="184"/>
        <v>0</v>
      </c>
      <c r="K154" s="201">
        <f t="shared" si="183"/>
        <v>0</v>
      </c>
      <c r="L154" s="201">
        <f t="shared" si="183"/>
        <v>0</v>
      </c>
      <c r="M154" s="201">
        <f t="shared" si="183"/>
        <v>0</v>
      </c>
      <c r="N154" s="201">
        <f t="shared" si="183"/>
        <v>0</v>
      </c>
      <c r="O154" s="201">
        <f t="shared" si="183"/>
        <v>0</v>
      </c>
      <c r="P154" s="201">
        <f t="shared" si="183"/>
        <v>0</v>
      </c>
      <c r="Q154" s="201">
        <f t="shared" si="183"/>
        <v>0</v>
      </c>
      <c r="R154" s="201">
        <f t="shared" si="183"/>
        <v>0</v>
      </c>
      <c r="S154" s="201">
        <f t="shared" si="183"/>
        <v>0</v>
      </c>
      <c r="T154" s="201">
        <f t="shared" si="183"/>
        <v>0</v>
      </c>
      <c r="U154" s="201">
        <f t="shared" si="183"/>
        <v>0</v>
      </c>
      <c r="V154" s="196">
        <f t="shared" si="177"/>
        <v>0</v>
      </c>
      <c r="W154" s="196">
        <f t="shared" ca="1" si="178"/>
        <v>0</v>
      </c>
      <c r="Y154" s="201">
        <f t="shared" ca="1" si="179"/>
        <v>0</v>
      </c>
      <c r="Z154" s="201">
        <f t="shared" ca="1" si="180"/>
        <v>0</v>
      </c>
      <c r="AA154" s="201">
        <f t="shared" ca="1" si="181"/>
        <v>0</v>
      </c>
      <c r="AB154" s="201">
        <f t="shared" ca="1" si="182"/>
        <v>0</v>
      </c>
    </row>
    <row r="155" spans="2:28" ht="18" customHeight="1">
      <c r="B155" s="606"/>
      <c r="C155" s="607"/>
      <c r="D155" s="607"/>
      <c r="E155" s="607"/>
      <c r="F155" s="608"/>
      <c r="G155" s="602"/>
      <c r="H155" s="180"/>
      <c r="I155" s="223" t="s">
        <v>176</v>
      </c>
      <c r="J155" s="111">
        <f t="shared" ref="J155:U155" si="185">SUM(J156:J158)</f>
        <v>0</v>
      </c>
      <c r="K155" s="111">
        <f t="shared" si="185"/>
        <v>0</v>
      </c>
      <c r="L155" s="111">
        <f t="shared" si="185"/>
        <v>0</v>
      </c>
      <c r="M155" s="111">
        <f t="shared" si="185"/>
        <v>0</v>
      </c>
      <c r="N155" s="111">
        <f t="shared" si="185"/>
        <v>0</v>
      </c>
      <c r="O155" s="111">
        <f t="shared" si="185"/>
        <v>0</v>
      </c>
      <c r="P155" s="111">
        <f t="shared" si="185"/>
        <v>0</v>
      </c>
      <c r="Q155" s="111">
        <f t="shared" si="185"/>
        <v>0</v>
      </c>
      <c r="R155" s="111">
        <f t="shared" si="185"/>
        <v>0</v>
      </c>
      <c r="S155" s="111">
        <f t="shared" si="185"/>
        <v>0</v>
      </c>
      <c r="T155" s="111">
        <f t="shared" si="185"/>
        <v>0</v>
      </c>
      <c r="U155" s="111">
        <f t="shared" si="185"/>
        <v>0</v>
      </c>
      <c r="V155" s="111">
        <f t="shared" si="177"/>
        <v>0</v>
      </c>
      <c r="W155" s="111">
        <f t="shared" ca="1" si="178"/>
        <v>0</v>
      </c>
      <c r="Y155" s="111">
        <f t="shared" ca="1" si="179"/>
        <v>0</v>
      </c>
      <c r="Z155" s="111">
        <f t="shared" ca="1" si="180"/>
        <v>0</v>
      </c>
      <c r="AA155" s="111">
        <f t="shared" ca="1" si="181"/>
        <v>0</v>
      </c>
      <c r="AB155" s="111">
        <f t="shared" ca="1" si="182"/>
        <v>0</v>
      </c>
    </row>
    <row r="156" spans="2:28" ht="18" customHeight="1">
      <c r="B156" s="606"/>
      <c r="C156" s="607"/>
      <c r="D156" s="607"/>
      <c r="E156" s="607"/>
      <c r="F156" s="608"/>
      <c r="G156" s="602"/>
      <c r="H156" s="188"/>
      <c r="I156" s="214" t="s">
        <v>44</v>
      </c>
      <c r="J156" s="197">
        <f>+SUMIFS(J$147:J$149,$I$147:$I$149,$I$155,$H$147:$H$149,$I156)</f>
        <v>0</v>
      </c>
      <c r="K156" s="197">
        <f t="shared" ref="K156:U158" si="186">+SUMIFS(K$147:K$149,$I$147:$I$149,$I$155,$H$147:$H$149,$I156)</f>
        <v>0</v>
      </c>
      <c r="L156" s="197">
        <f t="shared" si="186"/>
        <v>0</v>
      </c>
      <c r="M156" s="197">
        <f t="shared" si="186"/>
        <v>0</v>
      </c>
      <c r="N156" s="197">
        <f t="shared" si="186"/>
        <v>0</v>
      </c>
      <c r="O156" s="197">
        <f t="shared" si="186"/>
        <v>0</v>
      </c>
      <c r="P156" s="197">
        <f t="shared" si="186"/>
        <v>0</v>
      </c>
      <c r="Q156" s="197">
        <f t="shared" si="186"/>
        <v>0</v>
      </c>
      <c r="R156" s="197">
        <f t="shared" si="186"/>
        <v>0</v>
      </c>
      <c r="S156" s="197">
        <f t="shared" si="186"/>
        <v>0</v>
      </c>
      <c r="T156" s="197">
        <f t="shared" si="186"/>
        <v>0</v>
      </c>
      <c r="U156" s="197">
        <f t="shared" si="186"/>
        <v>0</v>
      </c>
      <c r="V156" s="194">
        <f t="shared" si="177"/>
        <v>0</v>
      </c>
      <c r="W156" s="194">
        <f t="shared" ca="1" si="178"/>
        <v>0</v>
      </c>
      <c r="Y156" s="197">
        <f t="shared" ca="1" si="179"/>
        <v>0</v>
      </c>
      <c r="Z156" s="197">
        <f t="shared" ca="1" si="180"/>
        <v>0</v>
      </c>
      <c r="AA156" s="197">
        <f t="shared" ca="1" si="181"/>
        <v>0</v>
      </c>
      <c r="AB156" s="197">
        <f t="shared" ca="1" si="182"/>
        <v>0</v>
      </c>
    </row>
    <row r="157" spans="2:28" ht="18" customHeight="1">
      <c r="B157" s="606"/>
      <c r="C157" s="607"/>
      <c r="D157" s="607"/>
      <c r="E157" s="607"/>
      <c r="F157" s="608"/>
      <c r="G157" s="602"/>
      <c r="H157" s="189"/>
      <c r="I157" s="215" t="s">
        <v>33</v>
      </c>
      <c r="J157" s="199">
        <f t="shared" ref="J157:J158" si="187">+SUMIFS(J$147:J$149,$I$147:$I$149,$I$155,$H$147:$H$149,$I157)</f>
        <v>0</v>
      </c>
      <c r="K157" s="199">
        <f t="shared" si="186"/>
        <v>0</v>
      </c>
      <c r="L157" s="199">
        <f t="shared" si="186"/>
        <v>0</v>
      </c>
      <c r="M157" s="199">
        <f t="shared" si="186"/>
        <v>0</v>
      </c>
      <c r="N157" s="199">
        <f t="shared" si="186"/>
        <v>0</v>
      </c>
      <c r="O157" s="199">
        <f t="shared" si="186"/>
        <v>0</v>
      </c>
      <c r="P157" s="199">
        <f t="shared" si="186"/>
        <v>0</v>
      </c>
      <c r="Q157" s="199">
        <f t="shared" si="186"/>
        <v>0</v>
      </c>
      <c r="R157" s="199">
        <f t="shared" si="186"/>
        <v>0</v>
      </c>
      <c r="S157" s="199">
        <f t="shared" si="186"/>
        <v>0</v>
      </c>
      <c r="T157" s="199">
        <f t="shared" si="186"/>
        <v>0</v>
      </c>
      <c r="U157" s="199">
        <f t="shared" si="186"/>
        <v>0</v>
      </c>
      <c r="V157" s="195">
        <f t="shared" si="177"/>
        <v>0</v>
      </c>
      <c r="W157" s="195">
        <f t="shared" ca="1" si="178"/>
        <v>0</v>
      </c>
      <c r="Y157" s="199">
        <f t="shared" ca="1" si="179"/>
        <v>0</v>
      </c>
      <c r="Z157" s="199">
        <f t="shared" ca="1" si="180"/>
        <v>0</v>
      </c>
      <c r="AA157" s="199">
        <f t="shared" ca="1" si="181"/>
        <v>0</v>
      </c>
      <c r="AB157" s="199">
        <f t="shared" ca="1" si="182"/>
        <v>0</v>
      </c>
    </row>
    <row r="158" spans="2:28" ht="18" customHeight="1">
      <c r="B158" s="606"/>
      <c r="C158" s="607"/>
      <c r="D158" s="607"/>
      <c r="E158" s="607"/>
      <c r="F158" s="608"/>
      <c r="G158" s="602"/>
      <c r="H158" s="190"/>
      <c r="I158" s="216" t="s">
        <v>62</v>
      </c>
      <c r="J158" s="201">
        <f t="shared" si="187"/>
        <v>0</v>
      </c>
      <c r="K158" s="201">
        <f t="shared" si="186"/>
        <v>0</v>
      </c>
      <c r="L158" s="201">
        <f t="shared" si="186"/>
        <v>0</v>
      </c>
      <c r="M158" s="201">
        <f t="shared" si="186"/>
        <v>0</v>
      </c>
      <c r="N158" s="201">
        <f t="shared" si="186"/>
        <v>0</v>
      </c>
      <c r="O158" s="201">
        <f t="shared" si="186"/>
        <v>0</v>
      </c>
      <c r="P158" s="201">
        <f t="shared" si="186"/>
        <v>0</v>
      </c>
      <c r="Q158" s="201">
        <f t="shared" si="186"/>
        <v>0</v>
      </c>
      <c r="R158" s="201">
        <f t="shared" si="186"/>
        <v>0</v>
      </c>
      <c r="S158" s="201">
        <f t="shared" si="186"/>
        <v>0</v>
      </c>
      <c r="T158" s="201">
        <f t="shared" si="186"/>
        <v>0</v>
      </c>
      <c r="U158" s="201">
        <f t="shared" si="186"/>
        <v>0</v>
      </c>
      <c r="V158" s="196">
        <f t="shared" si="177"/>
        <v>0</v>
      </c>
      <c r="W158" s="196">
        <f t="shared" ca="1" si="178"/>
        <v>0</v>
      </c>
      <c r="Y158" s="201">
        <f t="shared" ca="1" si="179"/>
        <v>0</v>
      </c>
      <c r="Z158" s="201">
        <f t="shared" ca="1" si="180"/>
        <v>0</v>
      </c>
      <c r="AA158" s="201">
        <f t="shared" ca="1" si="181"/>
        <v>0</v>
      </c>
      <c r="AB158" s="201">
        <f t="shared" ca="1" si="182"/>
        <v>0</v>
      </c>
    </row>
    <row r="159" spans="2:28" ht="18" customHeight="1">
      <c r="B159" s="606"/>
      <c r="C159" s="607"/>
      <c r="D159" s="607"/>
      <c r="E159" s="607"/>
      <c r="F159" s="608"/>
      <c r="G159" s="602"/>
      <c r="H159" s="180"/>
      <c r="I159" s="223" t="s">
        <v>177</v>
      </c>
      <c r="J159" s="111">
        <f>SUM(J160:J162)</f>
        <v>0</v>
      </c>
      <c r="K159" s="111">
        <f t="shared" ref="K159:U159" si="188">SUM(K160:K162)</f>
        <v>0</v>
      </c>
      <c r="L159" s="111">
        <f t="shared" si="188"/>
        <v>0</v>
      </c>
      <c r="M159" s="111">
        <f t="shared" si="188"/>
        <v>0</v>
      </c>
      <c r="N159" s="111">
        <f t="shared" si="188"/>
        <v>0</v>
      </c>
      <c r="O159" s="111">
        <f t="shared" si="188"/>
        <v>0</v>
      </c>
      <c r="P159" s="111">
        <f t="shared" si="188"/>
        <v>0</v>
      </c>
      <c r="Q159" s="111">
        <f t="shared" si="188"/>
        <v>0</v>
      </c>
      <c r="R159" s="111">
        <f t="shared" si="188"/>
        <v>0</v>
      </c>
      <c r="S159" s="111">
        <f t="shared" si="188"/>
        <v>0</v>
      </c>
      <c r="T159" s="111">
        <f t="shared" si="188"/>
        <v>0</v>
      </c>
      <c r="U159" s="111">
        <f t="shared" si="188"/>
        <v>300</v>
      </c>
      <c r="V159" s="111">
        <f t="shared" si="177"/>
        <v>300</v>
      </c>
      <c r="W159" s="111">
        <f t="shared" ca="1" si="178"/>
        <v>0</v>
      </c>
      <c r="Y159" s="111">
        <f t="shared" ca="1" si="179"/>
        <v>0</v>
      </c>
      <c r="Z159" s="111">
        <f t="shared" ca="1" si="180"/>
        <v>0</v>
      </c>
      <c r="AA159" s="111">
        <f t="shared" ca="1" si="181"/>
        <v>0</v>
      </c>
      <c r="AB159" s="111">
        <f t="shared" ca="1" si="182"/>
        <v>300</v>
      </c>
    </row>
    <row r="160" spans="2:28" ht="18" customHeight="1">
      <c r="B160" s="606"/>
      <c r="C160" s="607"/>
      <c r="D160" s="607"/>
      <c r="E160" s="607"/>
      <c r="F160" s="608"/>
      <c r="G160" s="602"/>
      <c r="H160" s="188"/>
      <c r="I160" s="214" t="s">
        <v>44</v>
      </c>
      <c r="J160" s="197">
        <f>+SUMIFS(J$147:J$149,$I$147:$I$149,$I$159,$H$147:$H$149,$I160)</f>
        <v>0</v>
      </c>
      <c r="K160" s="197">
        <f t="shared" ref="K160:U162" si="189">+SUMIFS(K$147:K$149,$I$147:$I$149,$I$159,$H$147:$H$149,$I160)</f>
        <v>0</v>
      </c>
      <c r="L160" s="197">
        <f t="shared" si="189"/>
        <v>0</v>
      </c>
      <c r="M160" s="197">
        <f t="shared" si="189"/>
        <v>0</v>
      </c>
      <c r="N160" s="197">
        <f t="shared" si="189"/>
        <v>0</v>
      </c>
      <c r="O160" s="197">
        <f t="shared" si="189"/>
        <v>0</v>
      </c>
      <c r="P160" s="197">
        <f t="shared" si="189"/>
        <v>0</v>
      </c>
      <c r="Q160" s="197">
        <f t="shared" si="189"/>
        <v>0</v>
      </c>
      <c r="R160" s="197">
        <f t="shared" si="189"/>
        <v>0</v>
      </c>
      <c r="S160" s="197">
        <f t="shared" si="189"/>
        <v>0</v>
      </c>
      <c r="T160" s="197">
        <f t="shared" si="189"/>
        <v>0</v>
      </c>
      <c r="U160" s="197">
        <f t="shared" si="189"/>
        <v>300</v>
      </c>
      <c r="V160" s="194">
        <f>SUM(J160:U160)</f>
        <v>300</v>
      </c>
      <c r="W160" s="194">
        <f ca="1">SUM(OFFSET(J160,0,0,1,$A$1))</f>
        <v>0</v>
      </c>
      <c r="Y160" s="197">
        <f t="shared" ca="1" si="179"/>
        <v>0</v>
      </c>
      <c r="Z160" s="197">
        <f t="shared" ca="1" si="180"/>
        <v>0</v>
      </c>
      <c r="AA160" s="197">
        <f t="shared" ca="1" si="181"/>
        <v>0</v>
      </c>
      <c r="AB160" s="197">
        <f t="shared" ca="1" si="182"/>
        <v>300</v>
      </c>
    </row>
    <row r="161" spans="2:28" ht="18" customHeight="1">
      <c r="B161" s="606"/>
      <c r="C161" s="607"/>
      <c r="D161" s="607"/>
      <c r="E161" s="607"/>
      <c r="F161" s="608"/>
      <c r="G161" s="602"/>
      <c r="H161" s="189"/>
      <c r="I161" s="215" t="s">
        <v>33</v>
      </c>
      <c r="J161" s="199">
        <f t="shared" ref="J161:J162" si="190">+SUMIFS(J$147:J$149,$I$147:$I$149,$I$159,$H$147:$H$149,$I161)</f>
        <v>0</v>
      </c>
      <c r="K161" s="199">
        <f t="shared" si="189"/>
        <v>0</v>
      </c>
      <c r="L161" s="199">
        <f t="shared" si="189"/>
        <v>0</v>
      </c>
      <c r="M161" s="199">
        <f t="shared" si="189"/>
        <v>0</v>
      </c>
      <c r="N161" s="199">
        <f t="shared" si="189"/>
        <v>0</v>
      </c>
      <c r="O161" s="199">
        <f t="shared" si="189"/>
        <v>0</v>
      </c>
      <c r="P161" s="199">
        <f t="shared" si="189"/>
        <v>0</v>
      </c>
      <c r="Q161" s="199">
        <f t="shared" si="189"/>
        <v>0</v>
      </c>
      <c r="R161" s="199">
        <f t="shared" si="189"/>
        <v>0</v>
      </c>
      <c r="S161" s="199">
        <f t="shared" si="189"/>
        <v>0</v>
      </c>
      <c r="T161" s="199">
        <f t="shared" si="189"/>
        <v>0</v>
      </c>
      <c r="U161" s="199">
        <f t="shared" si="189"/>
        <v>0</v>
      </c>
      <c r="V161" s="195">
        <f t="shared" ref="V161:V162" si="191">SUM(J161:U161)</f>
        <v>0</v>
      </c>
      <c r="W161" s="195">
        <f t="shared" ref="W161:W162" ca="1" si="192">SUM(OFFSET(J161,0,0,1,$A$1))</f>
        <v>0</v>
      </c>
      <c r="Y161" s="199">
        <f t="shared" ca="1" si="179"/>
        <v>0</v>
      </c>
      <c r="Z161" s="199">
        <f t="shared" ca="1" si="180"/>
        <v>0</v>
      </c>
      <c r="AA161" s="199">
        <f t="shared" ca="1" si="181"/>
        <v>0</v>
      </c>
      <c r="AB161" s="199">
        <f t="shared" ca="1" si="182"/>
        <v>0</v>
      </c>
    </row>
    <row r="162" spans="2:28" ht="18" customHeight="1">
      <c r="B162" s="609"/>
      <c r="C162" s="610"/>
      <c r="D162" s="610"/>
      <c r="E162" s="610"/>
      <c r="F162" s="611"/>
      <c r="G162" s="602"/>
      <c r="H162" s="190"/>
      <c r="I162" s="216" t="s">
        <v>62</v>
      </c>
      <c r="J162" s="201">
        <f t="shared" si="190"/>
        <v>0</v>
      </c>
      <c r="K162" s="201">
        <f t="shared" si="189"/>
        <v>0</v>
      </c>
      <c r="L162" s="201">
        <f t="shared" si="189"/>
        <v>0</v>
      </c>
      <c r="M162" s="201">
        <f t="shared" si="189"/>
        <v>0</v>
      </c>
      <c r="N162" s="201">
        <f t="shared" si="189"/>
        <v>0</v>
      </c>
      <c r="O162" s="201">
        <f t="shared" si="189"/>
        <v>0</v>
      </c>
      <c r="P162" s="201">
        <f t="shared" si="189"/>
        <v>0</v>
      </c>
      <c r="Q162" s="201">
        <f t="shared" si="189"/>
        <v>0</v>
      </c>
      <c r="R162" s="201">
        <f t="shared" si="189"/>
        <v>0</v>
      </c>
      <c r="S162" s="201">
        <f t="shared" si="189"/>
        <v>0</v>
      </c>
      <c r="T162" s="201">
        <f t="shared" si="189"/>
        <v>0</v>
      </c>
      <c r="U162" s="201">
        <f t="shared" si="189"/>
        <v>0</v>
      </c>
      <c r="V162" s="196">
        <f t="shared" si="191"/>
        <v>0</v>
      </c>
      <c r="W162" s="196">
        <f t="shared" ca="1" si="192"/>
        <v>0</v>
      </c>
      <c r="Y162" s="201">
        <f t="shared" ca="1" si="179"/>
        <v>0</v>
      </c>
      <c r="Z162" s="201">
        <f t="shared" ca="1" si="180"/>
        <v>0</v>
      </c>
      <c r="AA162" s="201">
        <f t="shared" ca="1" si="181"/>
        <v>0</v>
      </c>
      <c r="AB162" s="201">
        <f t="shared" ca="1" si="182"/>
        <v>0</v>
      </c>
    </row>
    <row r="164" spans="2:28" s="171" customFormat="1" ht="18" customHeight="1">
      <c r="B164" s="191" t="s">
        <v>201</v>
      </c>
      <c r="C164" s="112"/>
      <c r="D164" s="112"/>
      <c r="E164" s="112"/>
      <c r="F164" s="112"/>
      <c r="G164" s="112"/>
      <c r="H164" s="112"/>
      <c r="I164" s="211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3"/>
      <c r="W164" s="193"/>
      <c r="Y164" s="218"/>
      <c r="Z164" s="218"/>
      <c r="AA164" s="218"/>
      <c r="AB164" s="218"/>
    </row>
    <row r="165" spans="2:28" ht="18" customHeight="1">
      <c r="B165" s="582">
        <v>25</v>
      </c>
      <c r="C165" s="585" t="s">
        <v>139</v>
      </c>
      <c r="D165" s="585" t="s">
        <v>139</v>
      </c>
      <c r="E165" s="582" t="s">
        <v>62</v>
      </c>
      <c r="F165" s="582" t="s">
        <v>91</v>
      </c>
      <c r="G165" s="582">
        <v>12.5</v>
      </c>
      <c r="H165" s="206" t="s">
        <v>62</v>
      </c>
      <c r="I165" s="206" t="s">
        <v>175</v>
      </c>
      <c r="J165" s="197">
        <f>'KH Solar Plan'!AF41</f>
        <v>0</v>
      </c>
      <c r="K165" s="197">
        <f>'KH Solar Plan'!AG41</f>
        <v>0</v>
      </c>
      <c r="L165" s="198">
        <f>'KH Solar Plan'!AH41</f>
        <v>0</v>
      </c>
      <c r="M165" s="197">
        <f>'KH Solar Plan'!AI41</f>
        <v>0</v>
      </c>
      <c r="N165" s="197">
        <f>'KH Solar Plan'!AJ41</f>
        <v>0</v>
      </c>
      <c r="O165" s="197">
        <f>'KH Solar Plan'!AK41</f>
        <v>0</v>
      </c>
      <c r="P165" s="197">
        <f>'KH Solar Plan'!AL41</f>
        <v>0</v>
      </c>
      <c r="Q165" s="197">
        <f>'KH Solar Plan'!AM41</f>
        <v>0</v>
      </c>
      <c r="R165" s="197">
        <f>'KH Solar Plan'!AN41</f>
        <v>0</v>
      </c>
      <c r="S165" s="197">
        <f>'KH Solar Plan'!AO41</f>
        <v>0</v>
      </c>
      <c r="T165" s="231">
        <f>'KH Solar Plan'!AP41</f>
        <v>0</v>
      </c>
      <c r="U165" s="231">
        <f>'KH Solar Plan'!AQ41</f>
        <v>0</v>
      </c>
      <c r="V165" s="232">
        <f t="shared" ref="V165:V173" si="193">SUM(J165:U165)</f>
        <v>0</v>
      </c>
      <c r="W165" s="194">
        <f t="shared" ref="W165:W173" ca="1" si="194">SUM(OFFSET(J165,0,0,1,$A$1))</f>
        <v>0</v>
      </c>
      <c r="Y165" s="197">
        <f t="shared" ref="Y165:Y173" ca="1" si="195">SUM(OFFSET($J165,0,0,1,$A$2))</f>
        <v>0</v>
      </c>
      <c r="Z165" s="197">
        <f t="shared" ref="Z165:Z173" ca="1" si="196">SUM(OFFSET($M165,0,0,1,$A$2))</f>
        <v>0</v>
      </c>
      <c r="AA165" s="197">
        <f t="shared" ref="AA165:AA173" ca="1" si="197">SUM(OFFSET($P165,0,0,1,$A$2))</f>
        <v>0</v>
      </c>
      <c r="AB165" s="231">
        <f t="shared" ref="AB165:AB173" ca="1" si="198">SUM(OFFSET($S165,0,0,1,$A$2))</f>
        <v>0</v>
      </c>
    </row>
    <row r="166" spans="2:28" ht="18" customHeight="1">
      <c r="B166" s="583"/>
      <c r="C166" s="586"/>
      <c r="D166" s="588"/>
      <c r="E166" s="590"/>
      <c r="F166" s="590"/>
      <c r="G166" s="590"/>
      <c r="H166" s="207" t="s">
        <v>62</v>
      </c>
      <c r="I166" s="207" t="s">
        <v>176</v>
      </c>
      <c r="J166" s="199">
        <f>'KH Solar Rephase'!AE32</f>
        <v>0</v>
      </c>
      <c r="K166" s="199">
        <f>'KH Solar Rephase'!AF32</f>
        <v>0</v>
      </c>
      <c r="L166" s="200">
        <f>'KH Solar Rephase'!AG32</f>
        <v>0</v>
      </c>
      <c r="M166" s="199">
        <f>'KH Solar Rephase'!AH32</f>
        <v>0</v>
      </c>
      <c r="N166" s="199">
        <f>'KH Solar Rephase'!AI32</f>
        <v>0</v>
      </c>
      <c r="O166" s="199">
        <f>'KH Solar Rephase'!AJ32</f>
        <v>0</v>
      </c>
      <c r="P166" s="199">
        <f>'KH Solar Rephase'!AK32</f>
        <v>0</v>
      </c>
      <c r="Q166" s="199">
        <f>'KH Solar Rephase'!AL32</f>
        <v>0</v>
      </c>
      <c r="R166" s="199">
        <f>'KH Solar Rephase'!AM32</f>
        <v>0</v>
      </c>
      <c r="S166" s="199">
        <f>'KH Solar Rephase'!AN32</f>
        <v>0</v>
      </c>
      <c r="T166" s="233">
        <f>'KH Solar Rephase'!AO32</f>
        <v>12.5</v>
      </c>
      <c r="U166" s="233">
        <f>'KH Solar Rephase'!AP32</f>
        <v>0</v>
      </c>
      <c r="V166" s="234">
        <f t="shared" si="193"/>
        <v>12.5</v>
      </c>
      <c r="W166" s="195">
        <f t="shared" ca="1" si="194"/>
        <v>0</v>
      </c>
      <c r="Y166" s="199">
        <f t="shared" ca="1" si="195"/>
        <v>0</v>
      </c>
      <c r="Z166" s="199">
        <f t="shared" ca="1" si="196"/>
        <v>0</v>
      </c>
      <c r="AA166" s="199">
        <f t="shared" ca="1" si="197"/>
        <v>0</v>
      </c>
      <c r="AB166" s="233">
        <f t="shared" ca="1" si="198"/>
        <v>12.5</v>
      </c>
    </row>
    <row r="167" spans="2:28" ht="18" customHeight="1">
      <c r="B167" s="612"/>
      <c r="C167" s="613"/>
      <c r="D167" s="614"/>
      <c r="E167" s="615"/>
      <c r="F167" s="615"/>
      <c r="G167" s="615"/>
      <c r="H167" s="208" t="s">
        <v>62</v>
      </c>
      <c r="I167" s="208" t="s">
        <v>177</v>
      </c>
      <c r="J167" s="201">
        <f>'KH Solar Actual'!O31</f>
        <v>0</v>
      </c>
      <c r="K167" s="201">
        <f>'KH Solar Actual'!P31</f>
        <v>0</v>
      </c>
      <c r="L167" s="202">
        <f>'KH Solar Actual'!Q31</f>
        <v>0</v>
      </c>
      <c r="M167" s="201">
        <f>'KH Solar Actual'!R31</f>
        <v>0</v>
      </c>
      <c r="N167" s="201">
        <f>'KH Solar Actual'!S31</f>
        <v>0</v>
      </c>
      <c r="O167" s="201">
        <f>'KH Solar Actual'!T31</f>
        <v>0</v>
      </c>
      <c r="P167" s="201">
        <f>'KH Solar Actual'!U31</f>
        <v>0</v>
      </c>
      <c r="Q167" s="201">
        <f>'KH Solar Actual'!V31</f>
        <v>0</v>
      </c>
      <c r="R167" s="201">
        <f>'KH Solar Actual'!W31</f>
        <v>0</v>
      </c>
      <c r="S167" s="201">
        <f>'KH Solar Actual'!X31</f>
        <v>0</v>
      </c>
      <c r="T167" s="235">
        <f>'KH Solar Actual'!Y31</f>
        <v>12.5</v>
      </c>
      <c r="U167" s="235">
        <f>'KH Solar Actual'!Z31</f>
        <v>0</v>
      </c>
      <c r="V167" s="236">
        <f t="shared" si="193"/>
        <v>12.5</v>
      </c>
      <c r="W167" s="196">
        <f t="shared" ca="1" si="194"/>
        <v>0</v>
      </c>
      <c r="Y167" s="201">
        <f t="shared" ca="1" si="195"/>
        <v>0</v>
      </c>
      <c r="Z167" s="201">
        <f t="shared" ca="1" si="196"/>
        <v>0</v>
      </c>
      <c r="AA167" s="201">
        <f t="shared" ca="1" si="197"/>
        <v>0</v>
      </c>
      <c r="AB167" s="235">
        <f t="shared" ca="1" si="198"/>
        <v>12.5</v>
      </c>
    </row>
    <row r="168" spans="2:28" ht="18" customHeight="1">
      <c r="B168" s="582">
        <v>26</v>
      </c>
      <c r="C168" s="585" t="s">
        <v>142</v>
      </c>
      <c r="D168" s="585" t="s">
        <v>142</v>
      </c>
      <c r="E168" s="582" t="s">
        <v>62</v>
      </c>
      <c r="F168" s="582" t="s">
        <v>91</v>
      </c>
      <c r="G168" s="582">
        <v>12.5</v>
      </c>
      <c r="H168" s="206" t="s">
        <v>62</v>
      </c>
      <c r="I168" s="206" t="s">
        <v>175</v>
      </c>
      <c r="J168" s="197">
        <f>'KH Solar Plan'!AF42</f>
        <v>0</v>
      </c>
      <c r="K168" s="197">
        <f>'KH Solar Plan'!AG42</f>
        <v>0</v>
      </c>
      <c r="L168" s="198">
        <f>'KH Solar Plan'!AH42</f>
        <v>0</v>
      </c>
      <c r="M168" s="197">
        <f>'KH Solar Plan'!AI42</f>
        <v>0</v>
      </c>
      <c r="N168" s="197">
        <f>'KH Solar Plan'!AJ42</f>
        <v>0</v>
      </c>
      <c r="O168" s="197">
        <f>'KH Solar Plan'!AK42</f>
        <v>0</v>
      </c>
      <c r="P168" s="197">
        <f>'KH Solar Plan'!AL42</f>
        <v>0</v>
      </c>
      <c r="Q168" s="197">
        <f>'KH Solar Plan'!AM42</f>
        <v>0</v>
      </c>
      <c r="R168" s="197">
        <f>'KH Solar Plan'!AN42</f>
        <v>0</v>
      </c>
      <c r="S168" s="197">
        <f>'KH Solar Plan'!AO42</f>
        <v>0</v>
      </c>
      <c r="T168" s="231">
        <f>'KH Solar Plan'!AP42</f>
        <v>0</v>
      </c>
      <c r="U168" s="231">
        <f>'KH Solar Plan'!AQ42</f>
        <v>0</v>
      </c>
      <c r="V168" s="232">
        <f t="shared" si="193"/>
        <v>0</v>
      </c>
      <c r="W168" s="194">
        <f t="shared" ca="1" si="194"/>
        <v>0</v>
      </c>
      <c r="Y168" s="197">
        <f t="shared" ca="1" si="195"/>
        <v>0</v>
      </c>
      <c r="Z168" s="197">
        <f t="shared" ca="1" si="196"/>
        <v>0</v>
      </c>
      <c r="AA168" s="197">
        <f t="shared" ca="1" si="197"/>
        <v>0</v>
      </c>
      <c r="AB168" s="231">
        <f t="shared" ca="1" si="198"/>
        <v>0</v>
      </c>
    </row>
    <row r="169" spans="2:28" ht="18" customHeight="1">
      <c r="B169" s="583"/>
      <c r="C169" s="586"/>
      <c r="D169" s="588"/>
      <c r="E169" s="590"/>
      <c r="F169" s="590"/>
      <c r="G169" s="590"/>
      <c r="H169" s="207" t="s">
        <v>62</v>
      </c>
      <c r="I169" s="207" t="s">
        <v>176</v>
      </c>
      <c r="J169" s="199">
        <f>'KH Solar Rephase'!AE33</f>
        <v>0</v>
      </c>
      <c r="K169" s="199">
        <f>'KH Solar Rephase'!AF33</f>
        <v>0</v>
      </c>
      <c r="L169" s="200">
        <f>'KH Solar Rephase'!AG33</f>
        <v>0</v>
      </c>
      <c r="M169" s="199">
        <f>'KH Solar Rephase'!AH33</f>
        <v>0</v>
      </c>
      <c r="N169" s="199">
        <f>'KH Solar Rephase'!AI33</f>
        <v>0</v>
      </c>
      <c r="O169" s="199">
        <f>'KH Solar Rephase'!AJ33</f>
        <v>0</v>
      </c>
      <c r="P169" s="199">
        <f>'KH Solar Rephase'!AK33</f>
        <v>0</v>
      </c>
      <c r="Q169" s="199">
        <f>'KH Solar Rephase'!AL33</f>
        <v>0</v>
      </c>
      <c r="R169" s="199">
        <f>'KH Solar Rephase'!AM33</f>
        <v>0</v>
      </c>
      <c r="S169" s="199">
        <f>'KH Solar Rephase'!AN33</f>
        <v>0</v>
      </c>
      <c r="T169" s="233">
        <f>'KH Solar Rephase'!AO33</f>
        <v>12.5</v>
      </c>
      <c r="U169" s="233">
        <f>'KH Solar Rephase'!AP33</f>
        <v>0</v>
      </c>
      <c r="V169" s="234">
        <f t="shared" si="193"/>
        <v>12.5</v>
      </c>
      <c r="W169" s="195">
        <f t="shared" ca="1" si="194"/>
        <v>0</v>
      </c>
      <c r="Y169" s="199">
        <f t="shared" ca="1" si="195"/>
        <v>0</v>
      </c>
      <c r="Z169" s="199">
        <f t="shared" ca="1" si="196"/>
        <v>0</v>
      </c>
      <c r="AA169" s="199">
        <f t="shared" ca="1" si="197"/>
        <v>0</v>
      </c>
      <c r="AB169" s="233">
        <f t="shared" ca="1" si="198"/>
        <v>12.5</v>
      </c>
    </row>
    <row r="170" spans="2:28" ht="18" customHeight="1">
      <c r="B170" s="612"/>
      <c r="C170" s="613"/>
      <c r="D170" s="614"/>
      <c r="E170" s="615"/>
      <c r="F170" s="615"/>
      <c r="G170" s="615"/>
      <c r="H170" s="208" t="s">
        <v>62</v>
      </c>
      <c r="I170" s="208" t="s">
        <v>177</v>
      </c>
      <c r="J170" s="201">
        <f>'KH Solar Actual'!O32</f>
        <v>0</v>
      </c>
      <c r="K170" s="201">
        <f>'KH Solar Actual'!P32</f>
        <v>0</v>
      </c>
      <c r="L170" s="202">
        <f>'KH Solar Actual'!Q32</f>
        <v>0</v>
      </c>
      <c r="M170" s="201">
        <f>'KH Solar Actual'!R32</f>
        <v>0</v>
      </c>
      <c r="N170" s="201">
        <f>'KH Solar Actual'!S32</f>
        <v>0</v>
      </c>
      <c r="O170" s="201">
        <f>'KH Solar Actual'!T32</f>
        <v>0</v>
      </c>
      <c r="P170" s="201">
        <f>'KH Solar Actual'!U32</f>
        <v>0</v>
      </c>
      <c r="Q170" s="201">
        <f>'KH Solar Actual'!V32</f>
        <v>0</v>
      </c>
      <c r="R170" s="201">
        <f>'KH Solar Actual'!W32</f>
        <v>0</v>
      </c>
      <c r="S170" s="201">
        <f>'KH Solar Actual'!X32</f>
        <v>0</v>
      </c>
      <c r="T170" s="235">
        <f>'KH Solar Actual'!Y32</f>
        <v>12.5</v>
      </c>
      <c r="U170" s="235">
        <f>'KH Solar Actual'!Z32</f>
        <v>0</v>
      </c>
      <c r="V170" s="236">
        <f t="shared" si="193"/>
        <v>12.5</v>
      </c>
      <c r="W170" s="196">
        <f t="shared" ca="1" si="194"/>
        <v>0</v>
      </c>
      <c r="Y170" s="201">
        <f t="shared" ca="1" si="195"/>
        <v>0</v>
      </c>
      <c r="Z170" s="201">
        <f t="shared" ca="1" si="196"/>
        <v>0</v>
      </c>
      <c r="AA170" s="201">
        <f t="shared" ca="1" si="197"/>
        <v>0</v>
      </c>
      <c r="AB170" s="235">
        <f t="shared" ca="1" si="198"/>
        <v>12.5</v>
      </c>
    </row>
    <row r="171" spans="2:28" ht="18" customHeight="1">
      <c r="B171" s="582">
        <v>27</v>
      </c>
      <c r="C171" s="585" t="s">
        <v>30</v>
      </c>
      <c r="D171" s="585" t="s">
        <v>144</v>
      </c>
      <c r="E171" s="582" t="s">
        <v>33</v>
      </c>
      <c r="F171" s="582" t="s">
        <v>91</v>
      </c>
      <c r="G171" s="582">
        <v>25</v>
      </c>
      <c r="H171" s="206" t="s">
        <v>33</v>
      </c>
      <c r="I171" s="206" t="s">
        <v>175</v>
      </c>
      <c r="J171" s="197">
        <f>'KH Solar Rephase'!AE34</f>
        <v>0</v>
      </c>
      <c r="K171" s="197">
        <f>'KH Solar Rephase'!AF34</f>
        <v>0</v>
      </c>
      <c r="L171" s="198">
        <f>'KH Solar Rephase'!AG34</f>
        <v>0</v>
      </c>
      <c r="M171" s="197">
        <f>'KH Solar Rephase'!AH34</f>
        <v>0</v>
      </c>
      <c r="N171" s="197">
        <f>'KH Solar Rephase'!AI34</f>
        <v>0</v>
      </c>
      <c r="O171" s="197">
        <f>'KH Solar Rephase'!AJ34</f>
        <v>0</v>
      </c>
      <c r="P171" s="197">
        <f>'KH Solar Rephase'!AK34</f>
        <v>0</v>
      </c>
      <c r="Q171" s="197">
        <f>'KH Solar Rephase'!AL34</f>
        <v>0</v>
      </c>
      <c r="R171" s="197">
        <f>'KH Solar Rephase'!AM34</f>
        <v>0</v>
      </c>
      <c r="S171" s="197">
        <f>'KH Solar Rephase'!AN34</f>
        <v>0</v>
      </c>
      <c r="T171" s="197"/>
      <c r="U171" s="197">
        <f>'KH Solar Rephase'!AP34</f>
        <v>0</v>
      </c>
      <c r="V171" s="194">
        <f t="shared" si="193"/>
        <v>0</v>
      </c>
      <c r="W171" s="194">
        <f t="shared" ca="1" si="194"/>
        <v>0</v>
      </c>
      <c r="Y171" s="197">
        <f t="shared" ca="1" si="195"/>
        <v>0</v>
      </c>
      <c r="Z171" s="197">
        <f t="shared" ca="1" si="196"/>
        <v>0</v>
      </c>
      <c r="AA171" s="197">
        <f t="shared" ca="1" si="197"/>
        <v>0</v>
      </c>
      <c r="AB171" s="197">
        <f t="shared" ca="1" si="198"/>
        <v>0</v>
      </c>
    </row>
    <row r="172" spans="2:28" ht="18" customHeight="1">
      <c r="B172" s="583"/>
      <c r="C172" s="586"/>
      <c r="D172" s="588"/>
      <c r="E172" s="590"/>
      <c r="F172" s="590"/>
      <c r="G172" s="590"/>
      <c r="H172" s="207" t="s">
        <v>33</v>
      </c>
      <c r="I172" s="207" t="s">
        <v>176</v>
      </c>
      <c r="J172" s="199">
        <f>'KH Solar Rephase'!AE34</f>
        <v>0</v>
      </c>
      <c r="K172" s="199">
        <f>'KH Solar Rephase'!AF34</f>
        <v>0</v>
      </c>
      <c r="L172" s="200">
        <f>'KH Solar Rephase'!AG34</f>
        <v>0</v>
      </c>
      <c r="M172" s="199">
        <f>'KH Solar Rephase'!AH34</f>
        <v>0</v>
      </c>
      <c r="N172" s="199">
        <f>'KH Solar Rephase'!AI34</f>
        <v>0</v>
      </c>
      <c r="O172" s="199">
        <f>'KH Solar Rephase'!AJ34</f>
        <v>0</v>
      </c>
      <c r="P172" s="199">
        <f>'KH Solar Rephase'!AK34</f>
        <v>0</v>
      </c>
      <c r="Q172" s="199">
        <f>'KH Solar Rephase'!AL34</f>
        <v>0</v>
      </c>
      <c r="R172" s="199">
        <f>'KH Solar Rephase'!AM34</f>
        <v>0</v>
      </c>
      <c r="S172" s="199">
        <f>'KH Solar Rephase'!AN34</f>
        <v>0</v>
      </c>
      <c r="T172" s="199">
        <f>'KH Solar Rephase'!AO34</f>
        <v>25</v>
      </c>
      <c r="U172" s="199">
        <f>'KH Solar Rephase'!AP34</f>
        <v>0</v>
      </c>
      <c r="V172" s="195">
        <f t="shared" si="193"/>
        <v>25</v>
      </c>
      <c r="W172" s="195">
        <f t="shared" ca="1" si="194"/>
        <v>0</v>
      </c>
      <c r="Y172" s="199">
        <f t="shared" ca="1" si="195"/>
        <v>0</v>
      </c>
      <c r="Z172" s="199">
        <f t="shared" ca="1" si="196"/>
        <v>0</v>
      </c>
      <c r="AA172" s="199">
        <f t="shared" ca="1" si="197"/>
        <v>0</v>
      </c>
      <c r="AB172" s="199">
        <f t="shared" ca="1" si="198"/>
        <v>25</v>
      </c>
    </row>
    <row r="173" spans="2:28" ht="18" customHeight="1">
      <c r="B173" s="612"/>
      <c r="C173" s="613"/>
      <c r="D173" s="614"/>
      <c r="E173" s="615"/>
      <c r="F173" s="615"/>
      <c r="G173" s="615"/>
      <c r="H173" s="208" t="s">
        <v>33</v>
      </c>
      <c r="I173" s="208" t="s">
        <v>177</v>
      </c>
      <c r="J173" s="201">
        <f>'KH Solar Actual'!O33</f>
        <v>0</v>
      </c>
      <c r="K173" s="201">
        <f>'KH Solar Actual'!P33</f>
        <v>0</v>
      </c>
      <c r="L173" s="202">
        <f>'KH Solar Actual'!Q33</f>
        <v>0</v>
      </c>
      <c r="M173" s="201">
        <f>'KH Solar Actual'!R33</f>
        <v>0</v>
      </c>
      <c r="N173" s="201">
        <f>'KH Solar Actual'!S33</f>
        <v>0</v>
      </c>
      <c r="O173" s="201">
        <f>'KH Solar Actual'!T33</f>
        <v>0</v>
      </c>
      <c r="P173" s="201">
        <f>'KH Solar Actual'!U33</f>
        <v>0</v>
      </c>
      <c r="Q173" s="201">
        <f>'KH Solar Actual'!V33</f>
        <v>0</v>
      </c>
      <c r="R173" s="201">
        <f>'KH Solar Actual'!W33</f>
        <v>0</v>
      </c>
      <c r="S173" s="201">
        <f>'KH Solar Actual'!X33</f>
        <v>0</v>
      </c>
      <c r="T173" s="201">
        <f>'KH Solar Actual'!Y33</f>
        <v>25</v>
      </c>
      <c r="U173" s="201">
        <f>'KH Solar Actual'!Z33</f>
        <v>0</v>
      </c>
      <c r="V173" s="196">
        <f t="shared" si="193"/>
        <v>25</v>
      </c>
      <c r="W173" s="196">
        <f t="shared" ca="1" si="194"/>
        <v>0</v>
      </c>
      <c r="Y173" s="201">
        <f t="shared" ca="1" si="195"/>
        <v>0</v>
      </c>
      <c r="Z173" s="201">
        <f t="shared" ca="1" si="196"/>
        <v>0</v>
      </c>
      <c r="AA173" s="201">
        <f t="shared" ca="1" si="197"/>
        <v>0</v>
      </c>
      <c r="AB173" s="201">
        <f t="shared" ca="1" si="198"/>
        <v>25</v>
      </c>
    </row>
    <row r="175" spans="2:28" ht="18" customHeight="1">
      <c r="B175" s="603" t="s">
        <v>202</v>
      </c>
      <c r="C175" s="604"/>
      <c r="D175" s="604"/>
      <c r="E175" s="604"/>
      <c r="F175" s="605"/>
      <c r="G175" s="602">
        <f>G165+G168+G171</f>
        <v>50</v>
      </c>
      <c r="H175" s="180"/>
      <c r="I175" s="223" t="s">
        <v>175</v>
      </c>
      <c r="J175" s="111">
        <f>SUM(J176:J178)</f>
        <v>0</v>
      </c>
      <c r="K175" s="111">
        <f t="shared" ref="K175:U175" si="199">SUM(K176:K178)</f>
        <v>0</v>
      </c>
      <c r="L175" s="111">
        <f t="shared" si="199"/>
        <v>0</v>
      </c>
      <c r="M175" s="111">
        <f t="shared" si="199"/>
        <v>0</v>
      </c>
      <c r="N175" s="111">
        <f t="shared" si="199"/>
        <v>0</v>
      </c>
      <c r="O175" s="111">
        <f t="shared" si="199"/>
        <v>0</v>
      </c>
      <c r="P175" s="111">
        <f t="shared" si="199"/>
        <v>0</v>
      </c>
      <c r="Q175" s="111">
        <f t="shared" si="199"/>
        <v>0</v>
      </c>
      <c r="R175" s="111">
        <f t="shared" si="199"/>
        <v>0</v>
      </c>
      <c r="S175" s="111">
        <f t="shared" si="199"/>
        <v>0</v>
      </c>
      <c r="T175" s="111">
        <f t="shared" si="199"/>
        <v>0</v>
      </c>
      <c r="U175" s="111">
        <f t="shared" si="199"/>
        <v>0</v>
      </c>
      <c r="V175" s="111">
        <f t="shared" ref="V175:V183" si="200">SUM(J175:U175)</f>
        <v>0</v>
      </c>
      <c r="W175" s="111">
        <f t="shared" ref="W175:W183" ca="1" si="201">SUM(OFFSET(J175,0,0,1,$A$1))</f>
        <v>0</v>
      </c>
      <c r="Y175" s="111">
        <f t="shared" ref="Y175:Y186" ca="1" si="202">SUM(OFFSET($J175,0,0,1,$A$2))</f>
        <v>0</v>
      </c>
      <c r="Z175" s="111">
        <f t="shared" ref="Z175:Z186" ca="1" si="203">SUM(OFFSET($M175,0,0,1,$A$2))</f>
        <v>0</v>
      </c>
      <c r="AA175" s="111">
        <f t="shared" ref="AA175:AA186" ca="1" si="204">SUM(OFFSET($P175,0,0,1,$A$2))</f>
        <v>0</v>
      </c>
      <c r="AB175" s="111">
        <f t="shared" ref="AB175:AB186" ca="1" si="205">SUM(OFFSET($S175,0,0,1,$A$2))</f>
        <v>0</v>
      </c>
    </row>
    <row r="176" spans="2:28" ht="18" customHeight="1">
      <c r="B176" s="606"/>
      <c r="C176" s="607"/>
      <c r="D176" s="607"/>
      <c r="E176" s="607"/>
      <c r="F176" s="608"/>
      <c r="G176" s="602"/>
      <c r="H176" s="188"/>
      <c r="I176" s="214" t="s">
        <v>44</v>
      </c>
      <c r="J176" s="197">
        <f>+SUMIFS(J$165:J$173,$I$165:$I$173,$I$175,$H$165:$H$173,$I176)</f>
        <v>0</v>
      </c>
      <c r="K176" s="197">
        <f t="shared" ref="K176:U178" si="206">+SUMIFS(K$165:K$173,$I$165:$I$173,$I$175,$H$165:$H$173,$I176)</f>
        <v>0</v>
      </c>
      <c r="L176" s="197">
        <f t="shared" si="206"/>
        <v>0</v>
      </c>
      <c r="M176" s="197">
        <f t="shared" si="206"/>
        <v>0</v>
      </c>
      <c r="N176" s="197">
        <f t="shared" si="206"/>
        <v>0</v>
      </c>
      <c r="O176" s="197">
        <f t="shared" si="206"/>
        <v>0</v>
      </c>
      <c r="P176" s="197">
        <f t="shared" si="206"/>
        <v>0</v>
      </c>
      <c r="Q176" s="197">
        <f t="shared" si="206"/>
        <v>0</v>
      </c>
      <c r="R176" s="197">
        <f t="shared" si="206"/>
        <v>0</v>
      </c>
      <c r="S176" s="197">
        <f t="shared" si="206"/>
        <v>0</v>
      </c>
      <c r="T176" s="197">
        <f t="shared" si="206"/>
        <v>0</v>
      </c>
      <c r="U176" s="197">
        <f t="shared" si="206"/>
        <v>0</v>
      </c>
      <c r="V176" s="194">
        <f t="shared" si="200"/>
        <v>0</v>
      </c>
      <c r="W176" s="194">
        <f t="shared" ca="1" si="201"/>
        <v>0</v>
      </c>
      <c r="Y176" s="197">
        <f t="shared" ca="1" si="202"/>
        <v>0</v>
      </c>
      <c r="Z176" s="197">
        <f t="shared" ca="1" si="203"/>
        <v>0</v>
      </c>
      <c r="AA176" s="197">
        <f t="shared" ca="1" si="204"/>
        <v>0</v>
      </c>
      <c r="AB176" s="197">
        <f t="shared" ca="1" si="205"/>
        <v>0</v>
      </c>
    </row>
    <row r="177" spans="2:28" ht="18" customHeight="1">
      <c r="B177" s="606"/>
      <c r="C177" s="607"/>
      <c r="D177" s="607"/>
      <c r="E177" s="607"/>
      <c r="F177" s="608"/>
      <c r="G177" s="602"/>
      <c r="H177" s="189"/>
      <c r="I177" s="215" t="s">
        <v>33</v>
      </c>
      <c r="J177" s="199">
        <f t="shared" ref="J177:J178" si="207">+SUMIFS(J$165:J$173,$I$165:$I$173,$I$175,$H$165:$H$173,$I177)</f>
        <v>0</v>
      </c>
      <c r="K177" s="199">
        <f t="shared" si="206"/>
        <v>0</v>
      </c>
      <c r="L177" s="199">
        <f t="shared" si="206"/>
        <v>0</v>
      </c>
      <c r="M177" s="199">
        <f t="shared" si="206"/>
        <v>0</v>
      </c>
      <c r="N177" s="199">
        <f t="shared" si="206"/>
        <v>0</v>
      </c>
      <c r="O177" s="199">
        <f t="shared" si="206"/>
        <v>0</v>
      </c>
      <c r="P177" s="199">
        <f t="shared" si="206"/>
        <v>0</v>
      </c>
      <c r="Q177" s="199">
        <f t="shared" si="206"/>
        <v>0</v>
      </c>
      <c r="R177" s="199">
        <f t="shared" si="206"/>
        <v>0</v>
      </c>
      <c r="S177" s="199">
        <f t="shared" si="206"/>
        <v>0</v>
      </c>
      <c r="T177" s="199">
        <f t="shared" si="206"/>
        <v>0</v>
      </c>
      <c r="U177" s="199">
        <f t="shared" si="206"/>
        <v>0</v>
      </c>
      <c r="V177" s="195">
        <f t="shared" si="200"/>
        <v>0</v>
      </c>
      <c r="W177" s="195">
        <f t="shared" ca="1" si="201"/>
        <v>0</v>
      </c>
      <c r="Y177" s="199">
        <f t="shared" ca="1" si="202"/>
        <v>0</v>
      </c>
      <c r="Z177" s="199">
        <f t="shared" ca="1" si="203"/>
        <v>0</v>
      </c>
      <c r="AA177" s="199">
        <f t="shared" ca="1" si="204"/>
        <v>0</v>
      </c>
      <c r="AB177" s="199">
        <f t="shared" ca="1" si="205"/>
        <v>0</v>
      </c>
    </row>
    <row r="178" spans="2:28" ht="18" customHeight="1">
      <c r="B178" s="606"/>
      <c r="C178" s="607"/>
      <c r="D178" s="607"/>
      <c r="E178" s="607"/>
      <c r="F178" s="608"/>
      <c r="G178" s="602"/>
      <c r="H178" s="190"/>
      <c r="I178" s="216" t="s">
        <v>62</v>
      </c>
      <c r="J178" s="201">
        <f t="shared" si="207"/>
        <v>0</v>
      </c>
      <c r="K178" s="201">
        <f t="shared" si="206"/>
        <v>0</v>
      </c>
      <c r="L178" s="201">
        <f t="shared" si="206"/>
        <v>0</v>
      </c>
      <c r="M178" s="201">
        <f t="shared" si="206"/>
        <v>0</v>
      </c>
      <c r="N178" s="201">
        <f t="shared" si="206"/>
        <v>0</v>
      </c>
      <c r="O178" s="201">
        <f t="shared" si="206"/>
        <v>0</v>
      </c>
      <c r="P178" s="201">
        <f t="shared" si="206"/>
        <v>0</v>
      </c>
      <c r="Q178" s="201">
        <f t="shared" si="206"/>
        <v>0</v>
      </c>
      <c r="R178" s="201">
        <f t="shared" si="206"/>
        <v>0</v>
      </c>
      <c r="S178" s="201">
        <f t="shared" si="206"/>
        <v>0</v>
      </c>
      <c r="T178" s="201">
        <f t="shared" si="206"/>
        <v>0</v>
      </c>
      <c r="U178" s="201">
        <f t="shared" si="206"/>
        <v>0</v>
      </c>
      <c r="V178" s="196">
        <f t="shared" si="200"/>
        <v>0</v>
      </c>
      <c r="W178" s="196">
        <f t="shared" ca="1" si="201"/>
        <v>0</v>
      </c>
      <c r="Y178" s="201">
        <f t="shared" ca="1" si="202"/>
        <v>0</v>
      </c>
      <c r="Z178" s="201">
        <f t="shared" ca="1" si="203"/>
        <v>0</v>
      </c>
      <c r="AA178" s="201">
        <f t="shared" ca="1" si="204"/>
        <v>0</v>
      </c>
      <c r="AB178" s="201">
        <f t="shared" ca="1" si="205"/>
        <v>0</v>
      </c>
    </row>
    <row r="179" spans="2:28" ht="18" customHeight="1">
      <c r="B179" s="606"/>
      <c r="C179" s="607"/>
      <c r="D179" s="607"/>
      <c r="E179" s="607"/>
      <c r="F179" s="608"/>
      <c r="G179" s="602"/>
      <c r="H179" s="180"/>
      <c r="I179" s="223" t="s">
        <v>176</v>
      </c>
      <c r="J179" s="111">
        <f t="shared" ref="J179:U179" si="208">SUM(J180:J182)</f>
        <v>0</v>
      </c>
      <c r="K179" s="111">
        <f t="shared" si="208"/>
        <v>0</v>
      </c>
      <c r="L179" s="111">
        <f t="shared" si="208"/>
        <v>0</v>
      </c>
      <c r="M179" s="111">
        <f t="shared" si="208"/>
        <v>0</v>
      </c>
      <c r="N179" s="111">
        <f t="shared" si="208"/>
        <v>0</v>
      </c>
      <c r="O179" s="111">
        <f t="shared" si="208"/>
        <v>0</v>
      </c>
      <c r="P179" s="111">
        <f t="shared" si="208"/>
        <v>0</v>
      </c>
      <c r="Q179" s="111">
        <f t="shared" si="208"/>
        <v>0</v>
      </c>
      <c r="R179" s="111">
        <f t="shared" si="208"/>
        <v>0</v>
      </c>
      <c r="S179" s="111">
        <f t="shared" si="208"/>
        <v>0</v>
      </c>
      <c r="T179" s="111">
        <f t="shared" si="208"/>
        <v>50</v>
      </c>
      <c r="U179" s="111">
        <f t="shared" si="208"/>
        <v>0</v>
      </c>
      <c r="V179" s="111">
        <f t="shared" si="200"/>
        <v>50</v>
      </c>
      <c r="W179" s="111">
        <f t="shared" ca="1" si="201"/>
        <v>0</v>
      </c>
      <c r="Y179" s="111">
        <f t="shared" ca="1" si="202"/>
        <v>0</v>
      </c>
      <c r="Z179" s="111">
        <f t="shared" ca="1" si="203"/>
        <v>0</v>
      </c>
      <c r="AA179" s="111">
        <f t="shared" ca="1" si="204"/>
        <v>0</v>
      </c>
      <c r="AB179" s="111">
        <f t="shared" ca="1" si="205"/>
        <v>50</v>
      </c>
    </row>
    <row r="180" spans="2:28" ht="18" customHeight="1">
      <c r="B180" s="606"/>
      <c r="C180" s="607"/>
      <c r="D180" s="607"/>
      <c r="E180" s="607"/>
      <c r="F180" s="608"/>
      <c r="G180" s="602"/>
      <c r="H180" s="188"/>
      <c r="I180" s="214" t="s">
        <v>44</v>
      </c>
      <c r="J180" s="197">
        <f t="shared" ref="J180:T182" si="209">+SUMIFS(J$165:J$173,$I$165:$I$173,$I$179,$H$165:$H$173,$I180)</f>
        <v>0</v>
      </c>
      <c r="K180" s="197">
        <f t="shared" si="209"/>
        <v>0</v>
      </c>
      <c r="L180" s="197">
        <f t="shared" si="209"/>
        <v>0</v>
      </c>
      <c r="M180" s="197">
        <f t="shared" si="209"/>
        <v>0</v>
      </c>
      <c r="N180" s="197">
        <f t="shared" si="209"/>
        <v>0</v>
      </c>
      <c r="O180" s="197">
        <f t="shared" si="209"/>
        <v>0</v>
      </c>
      <c r="P180" s="197">
        <f t="shared" si="209"/>
        <v>0</v>
      </c>
      <c r="Q180" s="197">
        <f t="shared" si="209"/>
        <v>0</v>
      </c>
      <c r="R180" s="197">
        <f t="shared" si="209"/>
        <v>0</v>
      </c>
      <c r="S180" s="197">
        <f t="shared" si="209"/>
        <v>0</v>
      </c>
      <c r="T180" s="197">
        <f>+SUMIFS(T$165:T$173,$I$165:$I$173,$I$179,$H$165:$H$173,$I180)</f>
        <v>0</v>
      </c>
      <c r="U180" s="197">
        <f t="shared" ref="U180:U182" si="210">+SUMIFS(U$165:U$173,$I$165:$I$173,$I$179,$H$165:$H$173,$I180)</f>
        <v>0</v>
      </c>
      <c r="V180" s="194">
        <f t="shared" si="200"/>
        <v>0</v>
      </c>
      <c r="W180" s="194">
        <f t="shared" ca="1" si="201"/>
        <v>0</v>
      </c>
      <c r="Y180" s="197">
        <f t="shared" ca="1" si="202"/>
        <v>0</v>
      </c>
      <c r="Z180" s="197">
        <f t="shared" ca="1" si="203"/>
        <v>0</v>
      </c>
      <c r="AA180" s="197">
        <f t="shared" ca="1" si="204"/>
        <v>0</v>
      </c>
      <c r="AB180" s="197">
        <f t="shared" ca="1" si="205"/>
        <v>0</v>
      </c>
    </row>
    <row r="181" spans="2:28" ht="18" customHeight="1">
      <c r="B181" s="606"/>
      <c r="C181" s="607"/>
      <c r="D181" s="607"/>
      <c r="E181" s="607"/>
      <c r="F181" s="608"/>
      <c r="G181" s="602"/>
      <c r="H181" s="189"/>
      <c r="I181" s="215" t="s">
        <v>33</v>
      </c>
      <c r="J181" s="199">
        <f t="shared" si="209"/>
        <v>0</v>
      </c>
      <c r="K181" s="199">
        <f t="shared" si="209"/>
        <v>0</v>
      </c>
      <c r="L181" s="199">
        <f t="shared" si="209"/>
        <v>0</v>
      </c>
      <c r="M181" s="199">
        <f t="shared" si="209"/>
        <v>0</v>
      </c>
      <c r="N181" s="199">
        <f t="shared" si="209"/>
        <v>0</v>
      </c>
      <c r="O181" s="199">
        <f t="shared" si="209"/>
        <v>0</v>
      </c>
      <c r="P181" s="199">
        <f t="shared" si="209"/>
        <v>0</v>
      </c>
      <c r="Q181" s="199">
        <f t="shared" si="209"/>
        <v>0</v>
      </c>
      <c r="R181" s="199">
        <f t="shared" si="209"/>
        <v>0</v>
      </c>
      <c r="S181" s="199">
        <f t="shared" si="209"/>
        <v>0</v>
      </c>
      <c r="T181" s="199">
        <f t="shared" si="209"/>
        <v>25</v>
      </c>
      <c r="U181" s="199">
        <f t="shared" si="210"/>
        <v>0</v>
      </c>
      <c r="V181" s="195">
        <f t="shared" si="200"/>
        <v>25</v>
      </c>
      <c r="W181" s="195">
        <f t="shared" ca="1" si="201"/>
        <v>0</v>
      </c>
      <c r="Y181" s="199">
        <f t="shared" ca="1" si="202"/>
        <v>0</v>
      </c>
      <c r="Z181" s="199">
        <f t="shared" ca="1" si="203"/>
        <v>0</v>
      </c>
      <c r="AA181" s="199">
        <f t="shared" ca="1" si="204"/>
        <v>0</v>
      </c>
      <c r="AB181" s="199">
        <f t="shared" ca="1" si="205"/>
        <v>25</v>
      </c>
    </row>
    <row r="182" spans="2:28" ht="18" customHeight="1">
      <c r="B182" s="606"/>
      <c r="C182" s="607"/>
      <c r="D182" s="607"/>
      <c r="E182" s="607"/>
      <c r="F182" s="608"/>
      <c r="G182" s="602"/>
      <c r="H182" s="190"/>
      <c r="I182" s="216" t="s">
        <v>62</v>
      </c>
      <c r="J182" s="201">
        <f t="shared" si="209"/>
        <v>0</v>
      </c>
      <c r="K182" s="201">
        <f t="shared" si="209"/>
        <v>0</v>
      </c>
      <c r="L182" s="201">
        <f t="shared" si="209"/>
        <v>0</v>
      </c>
      <c r="M182" s="201">
        <f t="shared" si="209"/>
        <v>0</v>
      </c>
      <c r="N182" s="201">
        <f t="shared" si="209"/>
        <v>0</v>
      </c>
      <c r="O182" s="201">
        <f t="shared" si="209"/>
        <v>0</v>
      </c>
      <c r="P182" s="201">
        <f t="shared" si="209"/>
        <v>0</v>
      </c>
      <c r="Q182" s="201">
        <f t="shared" si="209"/>
        <v>0</v>
      </c>
      <c r="R182" s="201">
        <f t="shared" si="209"/>
        <v>0</v>
      </c>
      <c r="S182" s="201">
        <f t="shared" si="209"/>
        <v>0</v>
      </c>
      <c r="T182" s="201">
        <f t="shared" si="209"/>
        <v>25</v>
      </c>
      <c r="U182" s="201">
        <f t="shared" si="210"/>
        <v>0</v>
      </c>
      <c r="V182" s="196">
        <f t="shared" si="200"/>
        <v>25</v>
      </c>
      <c r="W182" s="196">
        <f t="shared" ca="1" si="201"/>
        <v>0</v>
      </c>
      <c r="Y182" s="201">
        <f t="shared" ca="1" si="202"/>
        <v>0</v>
      </c>
      <c r="Z182" s="201">
        <f t="shared" ca="1" si="203"/>
        <v>0</v>
      </c>
      <c r="AA182" s="201">
        <f t="shared" ca="1" si="204"/>
        <v>0</v>
      </c>
      <c r="AB182" s="201">
        <f t="shared" ca="1" si="205"/>
        <v>25</v>
      </c>
    </row>
    <row r="183" spans="2:28" ht="18" customHeight="1">
      <c r="B183" s="606"/>
      <c r="C183" s="607"/>
      <c r="D183" s="607"/>
      <c r="E183" s="607"/>
      <c r="F183" s="608"/>
      <c r="G183" s="602"/>
      <c r="H183" s="180"/>
      <c r="I183" s="223" t="s">
        <v>177</v>
      </c>
      <c r="J183" s="111">
        <f>SUM(J184:J186)</f>
        <v>0</v>
      </c>
      <c r="K183" s="111">
        <f t="shared" ref="K183:U183" si="211">SUM(K184:K186)</f>
        <v>0</v>
      </c>
      <c r="L183" s="111">
        <f t="shared" si="211"/>
        <v>0</v>
      </c>
      <c r="M183" s="111">
        <f t="shared" si="211"/>
        <v>0</v>
      </c>
      <c r="N183" s="111">
        <f t="shared" si="211"/>
        <v>0</v>
      </c>
      <c r="O183" s="111">
        <f t="shared" si="211"/>
        <v>0</v>
      </c>
      <c r="P183" s="111">
        <f t="shared" si="211"/>
        <v>0</v>
      </c>
      <c r="Q183" s="111">
        <f t="shared" si="211"/>
        <v>0</v>
      </c>
      <c r="R183" s="111">
        <f t="shared" si="211"/>
        <v>0</v>
      </c>
      <c r="S183" s="111">
        <f t="shared" si="211"/>
        <v>0</v>
      </c>
      <c r="T183" s="111">
        <f t="shared" si="211"/>
        <v>50</v>
      </c>
      <c r="U183" s="111">
        <f t="shared" si="211"/>
        <v>0</v>
      </c>
      <c r="V183" s="111">
        <f t="shared" si="200"/>
        <v>50</v>
      </c>
      <c r="W183" s="111">
        <f t="shared" ca="1" si="201"/>
        <v>0</v>
      </c>
      <c r="Y183" s="111">
        <f t="shared" ca="1" si="202"/>
        <v>0</v>
      </c>
      <c r="Z183" s="111">
        <f t="shared" ca="1" si="203"/>
        <v>0</v>
      </c>
      <c r="AA183" s="111">
        <f t="shared" ca="1" si="204"/>
        <v>0</v>
      </c>
      <c r="AB183" s="111">
        <f t="shared" ca="1" si="205"/>
        <v>50</v>
      </c>
    </row>
    <row r="184" spans="2:28" ht="18" customHeight="1">
      <c r="B184" s="606"/>
      <c r="C184" s="607"/>
      <c r="D184" s="607"/>
      <c r="E184" s="607"/>
      <c r="F184" s="608"/>
      <c r="G184" s="602"/>
      <c r="H184" s="188"/>
      <c r="I184" s="214" t="s">
        <v>44</v>
      </c>
      <c r="J184" s="197">
        <f>+SUMIFS(J$165:J$173,$I$165:$I$173,$I$183,$H$165:$H$173,$I184)</f>
        <v>0</v>
      </c>
      <c r="K184" s="197">
        <f t="shared" ref="K184:U186" si="212">+SUMIFS(K$165:K$173,$I$165:$I$173,$I$183,$H$165:$H$173,$I184)</f>
        <v>0</v>
      </c>
      <c r="L184" s="197">
        <f t="shared" si="212"/>
        <v>0</v>
      </c>
      <c r="M184" s="197">
        <f t="shared" si="212"/>
        <v>0</v>
      </c>
      <c r="N184" s="197">
        <f t="shared" si="212"/>
        <v>0</v>
      </c>
      <c r="O184" s="197">
        <f t="shared" si="212"/>
        <v>0</v>
      </c>
      <c r="P184" s="197">
        <f t="shared" si="212"/>
        <v>0</v>
      </c>
      <c r="Q184" s="197">
        <f t="shared" si="212"/>
        <v>0</v>
      </c>
      <c r="R184" s="197">
        <f t="shared" si="212"/>
        <v>0</v>
      </c>
      <c r="S184" s="197">
        <f t="shared" si="212"/>
        <v>0</v>
      </c>
      <c r="T184" s="197">
        <f t="shared" si="212"/>
        <v>0</v>
      </c>
      <c r="U184" s="197">
        <f t="shared" si="212"/>
        <v>0</v>
      </c>
      <c r="V184" s="194">
        <f>SUM(J184:U184)</f>
        <v>0</v>
      </c>
      <c r="W184" s="194">
        <f ca="1">SUM(OFFSET(J184,0,0,1,$A$1))</f>
        <v>0</v>
      </c>
      <c r="Y184" s="197">
        <f t="shared" ca="1" si="202"/>
        <v>0</v>
      </c>
      <c r="Z184" s="197">
        <f t="shared" ca="1" si="203"/>
        <v>0</v>
      </c>
      <c r="AA184" s="197">
        <f t="shared" ca="1" si="204"/>
        <v>0</v>
      </c>
      <c r="AB184" s="197">
        <f t="shared" ca="1" si="205"/>
        <v>0</v>
      </c>
    </row>
    <row r="185" spans="2:28" ht="18" customHeight="1">
      <c r="B185" s="606"/>
      <c r="C185" s="607"/>
      <c r="D185" s="607"/>
      <c r="E185" s="607"/>
      <c r="F185" s="608"/>
      <c r="G185" s="602"/>
      <c r="H185" s="189"/>
      <c r="I185" s="215" t="s">
        <v>33</v>
      </c>
      <c r="J185" s="199">
        <f t="shared" ref="J185:J186" si="213">+SUMIFS(J$165:J$173,$I$165:$I$173,$I$183,$H$165:$H$173,$I185)</f>
        <v>0</v>
      </c>
      <c r="K185" s="199">
        <f t="shared" si="212"/>
        <v>0</v>
      </c>
      <c r="L185" s="199">
        <f t="shared" si="212"/>
        <v>0</v>
      </c>
      <c r="M185" s="199">
        <f t="shared" si="212"/>
        <v>0</v>
      </c>
      <c r="N185" s="199">
        <f t="shared" si="212"/>
        <v>0</v>
      </c>
      <c r="O185" s="199">
        <f t="shared" si="212"/>
        <v>0</v>
      </c>
      <c r="P185" s="199">
        <f t="shared" si="212"/>
        <v>0</v>
      </c>
      <c r="Q185" s="199">
        <f t="shared" si="212"/>
        <v>0</v>
      </c>
      <c r="R185" s="199">
        <f t="shared" si="212"/>
        <v>0</v>
      </c>
      <c r="S185" s="199">
        <f t="shared" si="212"/>
        <v>0</v>
      </c>
      <c r="T185" s="199">
        <f t="shared" si="212"/>
        <v>25</v>
      </c>
      <c r="U185" s="199">
        <f t="shared" si="212"/>
        <v>0</v>
      </c>
      <c r="V185" s="195">
        <f t="shared" ref="V185:V186" si="214">SUM(J185:U185)</f>
        <v>25</v>
      </c>
      <c r="W185" s="195">
        <f t="shared" ref="W185:W186" ca="1" si="215">SUM(OFFSET(J185,0,0,1,$A$1))</f>
        <v>0</v>
      </c>
      <c r="Y185" s="199">
        <f t="shared" ca="1" si="202"/>
        <v>0</v>
      </c>
      <c r="Z185" s="199">
        <f t="shared" ca="1" si="203"/>
        <v>0</v>
      </c>
      <c r="AA185" s="199">
        <f t="shared" ca="1" si="204"/>
        <v>0</v>
      </c>
      <c r="AB185" s="199">
        <f t="shared" ca="1" si="205"/>
        <v>25</v>
      </c>
    </row>
    <row r="186" spans="2:28" ht="18" customHeight="1">
      <c r="B186" s="609"/>
      <c r="C186" s="610"/>
      <c r="D186" s="610"/>
      <c r="E186" s="610"/>
      <c r="F186" s="611"/>
      <c r="G186" s="602"/>
      <c r="H186" s="190"/>
      <c r="I186" s="216" t="s">
        <v>62</v>
      </c>
      <c r="J186" s="201">
        <f t="shared" si="213"/>
        <v>0</v>
      </c>
      <c r="K186" s="201">
        <f t="shared" si="212"/>
        <v>0</v>
      </c>
      <c r="L186" s="201">
        <f t="shared" si="212"/>
        <v>0</v>
      </c>
      <c r="M186" s="201">
        <f t="shared" si="212"/>
        <v>0</v>
      </c>
      <c r="N186" s="201">
        <f t="shared" si="212"/>
        <v>0</v>
      </c>
      <c r="O186" s="201">
        <f t="shared" si="212"/>
        <v>0</v>
      </c>
      <c r="P186" s="201">
        <f t="shared" si="212"/>
        <v>0</v>
      </c>
      <c r="Q186" s="201">
        <f t="shared" si="212"/>
        <v>0</v>
      </c>
      <c r="R186" s="201">
        <f t="shared" si="212"/>
        <v>0</v>
      </c>
      <c r="S186" s="201">
        <f t="shared" si="212"/>
        <v>0</v>
      </c>
      <c r="T186" s="201">
        <f t="shared" si="212"/>
        <v>25</v>
      </c>
      <c r="U186" s="201">
        <f t="shared" si="212"/>
        <v>0</v>
      </c>
      <c r="V186" s="196">
        <f t="shared" si="214"/>
        <v>25</v>
      </c>
      <c r="W186" s="196">
        <f t="shared" ca="1" si="215"/>
        <v>0</v>
      </c>
      <c r="Y186" s="201">
        <f t="shared" ca="1" si="202"/>
        <v>0</v>
      </c>
      <c r="Z186" s="201">
        <f t="shared" ca="1" si="203"/>
        <v>0</v>
      </c>
      <c r="AA186" s="201">
        <f t="shared" ca="1" si="204"/>
        <v>0</v>
      </c>
      <c r="AB186" s="201">
        <f t="shared" ca="1" si="205"/>
        <v>25</v>
      </c>
    </row>
    <row r="188" spans="2:28" s="171" customFormat="1" ht="18" customHeight="1">
      <c r="B188" s="191" t="s">
        <v>203</v>
      </c>
      <c r="C188" s="112"/>
      <c r="D188" s="112"/>
      <c r="E188" s="112"/>
      <c r="F188" s="112"/>
      <c r="G188" s="112"/>
      <c r="H188" s="112"/>
      <c r="I188" s="211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3"/>
      <c r="W188" s="193"/>
      <c r="Y188" s="218"/>
      <c r="Z188" s="218"/>
      <c r="AA188" s="218"/>
      <c r="AB188" s="218"/>
    </row>
    <row r="189" spans="2:28" ht="18" customHeight="1">
      <c r="B189" s="582">
        <v>23</v>
      </c>
      <c r="C189" s="585" t="s">
        <v>84</v>
      </c>
      <c r="D189" s="585" t="s">
        <v>50</v>
      </c>
      <c r="E189" s="582" t="s">
        <v>33</v>
      </c>
      <c r="F189" s="582" t="s">
        <v>135</v>
      </c>
      <c r="G189" s="582">
        <v>300</v>
      </c>
      <c r="H189" s="206" t="s">
        <v>33</v>
      </c>
      <c r="I189" s="206" t="s">
        <v>175</v>
      </c>
      <c r="J189" s="197">
        <f>'KH Solar Plan'!AF40</f>
        <v>0</v>
      </c>
      <c r="K189" s="197">
        <f>'KH Solar Plan'!AG40</f>
        <v>0</v>
      </c>
      <c r="L189" s="198">
        <f>'KH Solar Plan'!AH40</f>
        <v>0</v>
      </c>
      <c r="M189" s="197">
        <f>'KH Solar Plan'!AI40</f>
        <v>0</v>
      </c>
      <c r="N189" s="197">
        <f>'KH Solar Plan'!AJ40</f>
        <v>0</v>
      </c>
      <c r="O189" s="197">
        <f>'KH Solar Plan'!AK40</f>
        <v>0</v>
      </c>
      <c r="P189" s="197">
        <f>'KH Solar Plan'!AL40</f>
        <v>0</v>
      </c>
      <c r="Q189" s="197">
        <f>'KH Solar Plan'!AM40</f>
        <v>0</v>
      </c>
      <c r="R189" s="197">
        <f>'KH Solar Plan'!AN40</f>
        <v>0</v>
      </c>
      <c r="S189" s="197">
        <f>'KH Solar Plan'!AO40</f>
        <v>150</v>
      </c>
      <c r="T189" s="197">
        <f>'KH Solar Plan'!AP40</f>
        <v>200</v>
      </c>
      <c r="U189" s="197">
        <f>'KH Solar Plan'!AQ40</f>
        <v>0</v>
      </c>
      <c r="V189" s="194">
        <f t="shared" ref="V189:V194" si="216">SUM(J189:U189)</f>
        <v>350</v>
      </c>
      <c r="W189" s="194">
        <f t="shared" ref="W189:W194" ca="1" si="217">SUM(OFFSET(J189,0,0,1,$A$1))</f>
        <v>0</v>
      </c>
      <c r="Y189" s="197">
        <f t="shared" ref="Y189:Y194" ca="1" si="218">SUM(OFFSET($J189,0,0,1,$A$2))</f>
        <v>0</v>
      </c>
      <c r="Z189" s="197">
        <f t="shared" ref="Z189:Z194" ca="1" si="219">SUM(OFFSET($M189,0,0,1,$A$2))</f>
        <v>0</v>
      </c>
      <c r="AA189" s="197">
        <f t="shared" ref="AA189:AA194" ca="1" si="220">SUM(OFFSET($P189,0,0,1,$A$2))</f>
        <v>0</v>
      </c>
      <c r="AB189" s="197">
        <f t="shared" ref="AB189:AB194" ca="1" si="221">SUM(OFFSET($S189,0,0,1,$A$2))</f>
        <v>350</v>
      </c>
    </row>
    <row r="190" spans="2:28" ht="18" customHeight="1">
      <c r="B190" s="583"/>
      <c r="C190" s="586"/>
      <c r="D190" s="588"/>
      <c r="E190" s="590"/>
      <c r="F190" s="590"/>
      <c r="G190" s="590"/>
      <c r="H190" s="207" t="s">
        <v>33</v>
      </c>
      <c r="I190" s="207" t="s">
        <v>176</v>
      </c>
      <c r="J190" s="199">
        <f>'KH Solar Rephase'!AE30</f>
        <v>0</v>
      </c>
      <c r="K190" s="199">
        <f>'KH Solar Rephase'!AF30</f>
        <v>0</v>
      </c>
      <c r="L190" s="200">
        <f>'KH Solar Rephase'!AG30</f>
        <v>0</v>
      </c>
      <c r="M190" s="199">
        <f>'KH Solar Rephase'!AH30</f>
        <v>0</v>
      </c>
      <c r="N190" s="199">
        <f>'KH Solar Rephase'!AI30</f>
        <v>0</v>
      </c>
      <c r="O190" s="199">
        <f>'KH Solar Rephase'!AJ30</f>
        <v>0</v>
      </c>
      <c r="P190" s="199">
        <f>'KH Solar Rephase'!AK30</f>
        <v>0</v>
      </c>
      <c r="Q190" s="199">
        <f>'KH Solar Rephase'!AL30</f>
        <v>0</v>
      </c>
      <c r="R190" s="199">
        <f>'KH Solar Rephase'!AM30</f>
        <v>100</v>
      </c>
      <c r="S190" s="199">
        <f>'KH Solar Rephase'!AN30</f>
        <v>100</v>
      </c>
      <c r="T190" s="199">
        <f>'KH Solar Rephase'!AO30</f>
        <v>100</v>
      </c>
      <c r="U190" s="199">
        <f>'KH Solar Rephase'!AP30</f>
        <v>0</v>
      </c>
      <c r="V190" s="195">
        <f t="shared" si="216"/>
        <v>300</v>
      </c>
      <c r="W190" s="195">
        <f t="shared" ca="1" si="217"/>
        <v>0</v>
      </c>
      <c r="Y190" s="199">
        <f t="shared" ca="1" si="218"/>
        <v>0</v>
      </c>
      <c r="Z190" s="199">
        <f t="shared" ca="1" si="219"/>
        <v>0</v>
      </c>
      <c r="AA190" s="199">
        <f t="shared" ca="1" si="220"/>
        <v>100</v>
      </c>
      <c r="AB190" s="199">
        <f t="shared" ca="1" si="221"/>
        <v>200</v>
      </c>
    </row>
    <row r="191" spans="2:28" ht="18" customHeight="1">
      <c r="B191" s="612"/>
      <c r="C191" s="613"/>
      <c r="D191" s="614"/>
      <c r="E191" s="615"/>
      <c r="F191" s="615"/>
      <c r="G191" s="615"/>
      <c r="H191" s="208" t="s">
        <v>33</v>
      </c>
      <c r="I191" s="208" t="s">
        <v>177</v>
      </c>
      <c r="J191" s="201">
        <f>'KH Solar Actual'!O36</f>
        <v>0</v>
      </c>
      <c r="K191" s="201">
        <f>'KH Solar Actual'!P36</f>
        <v>0</v>
      </c>
      <c r="L191" s="202">
        <f>'KH Solar Actual'!Q36</f>
        <v>0</v>
      </c>
      <c r="M191" s="201">
        <f>'KH Solar Actual'!R36</f>
        <v>0</v>
      </c>
      <c r="N191" s="201">
        <f>'KH Solar Actual'!S36</f>
        <v>0</v>
      </c>
      <c r="O191" s="201">
        <f>'KH Solar Actual'!T36</f>
        <v>0</v>
      </c>
      <c r="P191" s="201">
        <f>'KH Solar Actual'!U36</f>
        <v>0</v>
      </c>
      <c r="Q191" s="201">
        <f>'KH Solar Actual'!V36</f>
        <v>0</v>
      </c>
      <c r="R191" s="201">
        <f>'KH Solar Actual'!W36</f>
        <v>0</v>
      </c>
      <c r="S191" s="201">
        <f>'KH Solar Actual'!X36</f>
        <v>0</v>
      </c>
      <c r="T191" s="201">
        <f>'KH Solar Actual'!Y36</f>
        <v>0</v>
      </c>
      <c r="U191" s="201">
        <f>'KH Solar Actual'!Z36</f>
        <v>0</v>
      </c>
      <c r="V191" s="196">
        <f t="shared" si="216"/>
        <v>0</v>
      </c>
      <c r="W191" s="196">
        <f t="shared" ca="1" si="217"/>
        <v>0</v>
      </c>
      <c r="Y191" s="201">
        <f t="shared" ca="1" si="218"/>
        <v>0</v>
      </c>
      <c r="Z191" s="201">
        <f t="shared" ca="1" si="219"/>
        <v>0</v>
      </c>
      <c r="AA191" s="201">
        <f t="shared" ca="1" si="220"/>
        <v>0</v>
      </c>
      <c r="AB191" s="201">
        <f t="shared" ca="1" si="221"/>
        <v>0</v>
      </c>
    </row>
    <row r="192" spans="2:28" ht="18" customHeight="1">
      <c r="B192" s="582">
        <v>24</v>
      </c>
      <c r="C192" s="585" t="s">
        <v>41</v>
      </c>
      <c r="D192" s="585" t="s">
        <v>42</v>
      </c>
      <c r="E192" s="582" t="s">
        <v>44</v>
      </c>
      <c r="F192" s="582" t="s">
        <v>47</v>
      </c>
      <c r="G192" s="582">
        <v>350</v>
      </c>
      <c r="H192" s="206" t="s">
        <v>44</v>
      </c>
      <c r="I192" s="206" t="s">
        <v>175</v>
      </c>
      <c r="J192" s="197">
        <f>'KH Solar Plan'!AF39</f>
        <v>0</v>
      </c>
      <c r="K192" s="197">
        <f>'KH Solar Plan'!AG39</f>
        <v>0</v>
      </c>
      <c r="L192" s="198">
        <f>'KH Solar Plan'!AH39</f>
        <v>0</v>
      </c>
      <c r="M192" s="197">
        <f>'KH Solar Plan'!AI39</f>
        <v>0</v>
      </c>
      <c r="N192" s="197">
        <f>'KH Solar Plan'!AJ39</f>
        <v>0</v>
      </c>
      <c r="O192" s="197">
        <f>'KH Solar Plan'!AK39</f>
        <v>0</v>
      </c>
      <c r="P192" s="197">
        <f>'KH Solar Plan'!AL39</f>
        <v>0</v>
      </c>
      <c r="Q192" s="197">
        <f>'KH Solar Plan'!AM39</f>
        <v>0</v>
      </c>
      <c r="R192" s="197">
        <f>'KH Solar Plan'!AN39</f>
        <v>100</v>
      </c>
      <c r="S192" s="197">
        <f>'KH Solar Plan'!AO39</f>
        <v>100</v>
      </c>
      <c r="T192" s="197">
        <f>'KH Solar Plan'!AP39</f>
        <v>100</v>
      </c>
      <c r="U192" s="197">
        <f>'KH Solar Plan'!AQ39</f>
        <v>0</v>
      </c>
      <c r="V192" s="194">
        <f t="shared" si="216"/>
        <v>300</v>
      </c>
      <c r="W192" s="194">
        <f t="shared" ca="1" si="217"/>
        <v>0</v>
      </c>
      <c r="Y192" s="197">
        <f t="shared" ca="1" si="218"/>
        <v>0</v>
      </c>
      <c r="Z192" s="197">
        <f t="shared" ca="1" si="219"/>
        <v>0</v>
      </c>
      <c r="AA192" s="197">
        <f t="shared" ca="1" si="220"/>
        <v>100</v>
      </c>
      <c r="AB192" s="197">
        <f t="shared" ca="1" si="221"/>
        <v>200</v>
      </c>
    </row>
    <row r="193" spans="2:28" ht="18" customHeight="1">
      <c r="B193" s="583"/>
      <c r="C193" s="586"/>
      <c r="D193" s="588"/>
      <c r="E193" s="590"/>
      <c r="F193" s="590"/>
      <c r="G193" s="590"/>
      <c r="H193" s="207" t="s">
        <v>44</v>
      </c>
      <c r="I193" s="207" t="s">
        <v>176</v>
      </c>
      <c r="J193" s="199">
        <f>'KH Solar Rephase'!AE31</f>
        <v>0</v>
      </c>
      <c r="K193" s="199">
        <f>'KH Solar Rephase'!AF31</f>
        <v>0</v>
      </c>
      <c r="L193" s="200">
        <f>'KH Solar Rephase'!AG31</f>
        <v>0</v>
      </c>
      <c r="M193" s="199">
        <f>'KH Solar Rephase'!AH31</f>
        <v>0</v>
      </c>
      <c r="N193" s="199">
        <f>'KH Solar Rephase'!AI31</f>
        <v>0</v>
      </c>
      <c r="O193" s="199">
        <f>'KH Solar Rephase'!AJ31</f>
        <v>0</v>
      </c>
      <c r="P193" s="199">
        <f>'KH Solar Rephase'!AK31</f>
        <v>0</v>
      </c>
      <c r="Q193" s="199">
        <f>'KH Solar Rephase'!AL31</f>
        <v>0</v>
      </c>
      <c r="R193" s="199">
        <f>'KH Solar Rephase'!AM31</f>
        <v>150</v>
      </c>
      <c r="S193" s="199">
        <f>'KH Solar Rephase'!AN31</f>
        <v>200</v>
      </c>
      <c r="T193" s="199">
        <f>'KH Solar Rephase'!AO31</f>
        <v>0</v>
      </c>
      <c r="U193" s="199">
        <f>'KH Solar Rephase'!AP31</f>
        <v>0</v>
      </c>
      <c r="V193" s="195">
        <f t="shared" si="216"/>
        <v>350</v>
      </c>
      <c r="W193" s="195">
        <f t="shared" ca="1" si="217"/>
        <v>0</v>
      </c>
      <c r="Y193" s="199">
        <f t="shared" ca="1" si="218"/>
        <v>0</v>
      </c>
      <c r="Z193" s="199">
        <f t="shared" ca="1" si="219"/>
        <v>0</v>
      </c>
      <c r="AA193" s="199">
        <f t="shared" ca="1" si="220"/>
        <v>150</v>
      </c>
      <c r="AB193" s="199">
        <f t="shared" ca="1" si="221"/>
        <v>200</v>
      </c>
    </row>
    <row r="194" spans="2:28" ht="18" customHeight="1">
      <c r="B194" s="612"/>
      <c r="C194" s="613"/>
      <c r="D194" s="614"/>
      <c r="E194" s="615"/>
      <c r="F194" s="615"/>
      <c r="G194" s="615"/>
      <c r="H194" s="208" t="s">
        <v>44</v>
      </c>
      <c r="I194" s="208" t="s">
        <v>177</v>
      </c>
      <c r="J194" s="201">
        <f>'KH Solar Actual'!O37</f>
        <v>0</v>
      </c>
      <c r="K194" s="201">
        <f>'KH Solar Actual'!P37</f>
        <v>0</v>
      </c>
      <c r="L194" s="202">
        <f>'KH Solar Actual'!Q37</f>
        <v>0</v>
      </c>
      <c r="M194" s="201">
        <f>'KH Solar Actual'!R37</f>
        <v>0</v>
      </c>
      <c r="N194" s="201">
        <f>'KH Solar Actual'!S37</f>
        <v>0</v>
      </c>
      <c r="O194" s="201">
        <f>'KH Solar Actual'!T37</f>
        <v>0</v>
      </c>
      <c r="P194" s="201">
        <f>'KH Solar Actual'!U37</f>
        <v>0</v>
      </c>
      <c r="Q194" s="201">
        <f>'KH Solar Actual'!V37</f>
        <v>0</v>
      </c>
      <c r="R194" s="201">
        <f>'KH Solar Actual'!W37</f>
        <v>0</v>
      </c>
      <c r="S194" s="201">
        <f>'KH Solar Actual'!X37</f>
        <v>0</v>
      </c>
      <c r="T194" s="201">
        <f>'KH Solar Actual'!Y37</f>
        <v>0</v>
      </c>
      <c r="U194" s="201">
        <f>'KH Solar Actual'!Z37</f>
        <v>0</v>
      </c>
      <c r="V194" s="196">
        <f t="shared" si="216"/>
        <v>0</v>
      </c>
      <c r="W194" s="196">
        <f t="shared" ca="1" si="217"/>
        <v>0</v>
      </c>
      <c r="Y194" s="201">
        <f t="shared" ca="1" si="218"/>
        <v>0</v>
      </c>
      <c r="Z194" s="201">
        <f t="shared" ca="1" si="219"/>
        <v>0</v>
      </c>
      <c r="AA194" s="201">
        <f t="shared" ca="1" si="220"/>
        <v>0</v>
      </c>
      <c r="AB194" s="201">
        <f t="shared" ca="1" si="221"/>
        <v>0</v>
      </c>
    </row>
    <row r="196" spans="2:28" ht="18" customHeight="1">
      <c r="B196" s="603" t="s">
        <v>204</v>
      </c>
      <c r="C196" s="604"/>
      <c r="D196" s="604"/>
      <c r="E196" s="604"/>
      <c r="F196" s="605"/>
      <c r="G196" s="602">
        <f>G189+G192</f>
        <v>650</v>
      </c>
      <c r="H196" s="180"/>
      <c r="I196" s="223" t="s">
        <v>175</v>
      </c>
      <c r="J196" s="111">
        <f>SUM(J197:J199)</f>
        <v>0</v>
      </c>
      <c r="K196" s="111">
        <f t="shared" ref="K196:U196" si="222">SUM(K197:K199)</f>
        <v>0</v>
      </c>
      <c r="L196" s="111">
        <f t="shared" si="222"/>
        <v>0</v>
      </c>
      <c r="M196" s="111">
        <f t="shared" si="222"/>
        <v>0</v>
      </c>
      <c r="N196" s="111">
        <f t="shared" si="222"/>
        <v>0</v>
      </c>
      <c r="O196" s="111">
        <f t="shared" si="222"/>
        <v>0</v>
      </c>
      <c r="P196" s="111">
        <f t="shared" si="222"/>
        <v>0</v>
      </c>
      <c r="Q196" s="111">
        <f t="shared" si="222"/>
        <v>0</v>
      </c>
      <c r="R196" s="111">
        <f t="shared" si="222"/>
        <v>100</v>
      </c>
      <c r="S196" s="111">
        <f t="shared" si="222"/>
        <v>250</v>
      </c>
      <c r="T196" s="111">
        <f t="shared" si="222"/>
        <v>300</v>
      </c>
      <c r="U196" s="111">
        <f t="shared" si="222"/>
        <v>0</v>
      </c>
      <c r="V196" s="111">
        <f t="shared" ref="V196:V204" si="223">SUM(J196:U196)</f>
        <v>650</v>
      </c>
      <c r="W196" s="111">
        <f t="shared" ref="W196:W204" ca="1" si="224">SUM(OFFSET(J196,0,0,1,$A$1))</f>
        <v>0</v>
      </c>
      <c r="Y196" s="111">
        <f t="shared" ref="Y196:Y207" ca="1" si="225">SUM(OFFSET($J196,0,0,1,$A$2))</f>
        <v>0</v>
      </c>
      <c r="Z196" s="111">
        <f t="shared" ref="Z196:Z207" ca="1" si="226">SUM(OFFSET($M196,0,0,1,$A$2))</f>
        <v>0</v>
      </c>
      <c r="AA196" s="111">
        <f t="shared" ref="AA196:AA207" ca="1" si="227">SUM(OFFSET($P196,0,0,1,$A$2))</f>
        <v>100</v>
      </c>
      <c r="AB196" s="111">
        <f t="shared" ref="AB196:AB207" ca="1" si="228">SUM(OFFSET($S196,0,0,1,$A$2))</f>
        <v>550</v>
      </c>
    </row>
    <row r="197" spans="2:28" ht="18" customHeight="1">
      <c r="B197" s="606"/>
      <c r="C197" s="607"/>
      <c r="D197" s="607"/>
      <c r="E197" s="607"/>
      <c r="F197" s="608"/>
      <c r="G197" s="602"/>
      <c r="H197" s="188"/>
      <c r="I197" s="214" t="s">
        <v>44</v>
      </c>
      <c r="J197" s="197">
        <f>+SUMIFS(J$189:J$194,$I$189:$I$194,$I$196,$H$189:$H$194,$I197)</f>
        <v>0</v>
      </c>
      <c r="K197" s="197">
        <f t="shared" ref="K197:U199" si="229">+SUMIFS(K$189:K$194,$I$189:$I$194,$I$196,$H$189:$H$194,$I197)</f>
        <v>0</v>
      </c>
      <c r="L197" s="197">
        <f t="shared" si="229"/>
        <v>0</v>
      </c>
      <c r="M197" s="197">
        <f t="shared" si="229"/>
        <v>0</v>
      </c>
      <c r="N197" s="197">
        <f t="shared" si="229"/>
        <v>0</v>
      </c>
      <c r="O197" s="197">
        <f t="shared" si="229"/>
        <v>0</v>
      </c>
      <c r="P197" s="197">
        <f t="shared" si="229"/>
        <v>0</v>
      </c>
      <c r="Q197" s="197">
        <f t="shared" si="229"/>
        <v>0</v>
      </c>
      <c r="R197" s="197">
        <f t="shared" si="229"/>
        <v>100</v>
      </c>
      <c r="S197" s="197">
        <f t="shared" si="229"/>
        <v>100</v>
      </c>
      <c r="T197" s="197">
        <f t="shared" si="229"/>
        <v>100</v>
      </c>
      <c r="U197" s="197">
        <f t="shared" si="229"/>
        <v>0</v>
      </c>
      <c r="V197" s="194">
        <f t="shared" si="223"/>
        <v>300</v>
      </c>
      <c r="W197" s="194">
        <f t="shared" ca="1" si="224"/>
        <v>0</v>
      </c>
      <c r="Y197" s="197">
        <f t="shared" ca="1" si="225"/>
        <v>0</v>
      </c>
      <c r="Z197" s="197">
        <f t="shared" ca="1" si="226"/>
        <v>0</v>
      </c>
      <c r="AA197" s="197">
        <f t="shared" ca="1" si="227"/>
        <v>100</v>
      </c>
      <c r="AB197" s="197">
        <f t="shared" ca="1" si="228"/>
        <v>200</v>
      </c>
    </row>
    <row r="198" spans="2:28" ht="18" customHeight="1">
      <c r="B198" s="606"/>
      <c r="C198" s="607"/>
      <c r="D198" s="607"/>
      <c r="E198" s="607"/>
      <c r="F198" s="608"/>
      <c r="G198" s="602"/>
      <c r="H198" s="189"/>
      <c r="I198" s="215" t="s">
        <v>33</v>
      </c>
      <c r="J198" s="199">
        <f t="shared" ref="J198:J199" si="230">+SUMIFS(J$189:J$194,$I$189:$I$194,$I$196,$H$189:$H$194,$I198)</f>
        <v>0</v>
      </c>
      <c r="K198" s="199">
        <f t="shared" si="229"/>
        <v>0</v>
      </c>
      <c r="L198" s="199">
        <f t="shared" si="229"/>
        <v>0</v>
      </c>
      <c r="M198" s="199">
        <f t="shared" si="229"/>
        <v>0</v>
      </c>
      <c r="N198" s="199">
        <f t="shared" si="229"/>
        <v>0</v>
      </c>
      <c r="O198" s="199">
        <f t="shared" si="229"/>
        <v>0</v>
      </c>
      <c r="P198" s="199">
        <f t="shared" si="229"/>
        <v>0</v>
      </c>
      <c r="Q198" s="199">
        <f t="shared" si="229"/>
        <v>0</v>
      </c>
      <c r="R198" s="199">
        <f t="shared" si="229"/>
        <v>0</v>
      </c>
      <c r="S198" s="199">
        <f t="shared" si="229"/>
        <v>150</v>
      </c>
      <c r="T198" s="199">
        <f t="shared" si="229"/>
        <v>200</v>
      </c>
      <c r="U198" s="199">
        <f t="shared" si="229"/>
        <v>0</v>
      </c>
      <c r="V198" s="195">
        <f t="shared" si="223"/>
        <v>350</v>
      </c>
      <c r="W198" s="195">
        <f t="shared" ca="1" si="224"/>
        <v>0</v>
      </c>
      <c r="Y198" s="199">
        <f t="shared" ca="1" si="225"/>
        <v>0</v>
      </c>
      <c r="Z198" s="199">
        <f t="shared" ca="1" si="226"/>
        <v>0</v>
      </c>
      <c r="AA198" s="199">
        <f t="shared" ca="1" si="227"/>
        <v>0</v>
      </c>
      <c r="AB198" s="199">
        <f t="shared" ca="1" si="228"/>
        <v>350</v>
      </c>
    </row>
    <row r="199" spans="2:28" ht="18" customHeight="1">
      <c r="B199" s="606"/>
      <c r="C199" s="607"/>
      <c r="D199" s="607"/>
      <c r="E199" s="607"/>
      <c r="F199" s="608"/>
      <c r="G199" s="602"/>
      <c r="H199" s="190"/>
      <c r="I199" s="216" t="s">
        <v>62</v>
      </c>
      <c r="J199" s="201">
        <f t="shared" si="230"/>
        <v>0</v>
      </c>
      <c r="K199" s="201">
        <f t="shared" si="229"/>
        <v>0</v>
      </c>
      <c r="L199" s="201">
        <f t="shared" si="229"/>
        <v>0</v>
      </c>
      <c r="M199" s="201">
        <f t="shared" si="229"/>
        <v>0</v>
      </c>
      <c r="N199" s="201">
        <f t="shared" si="229"/>
        <v>0</v>
      </c>
      <c r="O199" s="201">
        <f t="shared" si="229"/>
        <v>0</v>
      </c>
      <c r="P199" s="201">
        <f t="shared" si="229"/>
        <v>0</v>
      </c>
      <c r="Q199" s="201">
        <f t="shared" si="229"/>
        <v>0</v>
      </c>
      <c r="R199" s="201">
        <f t="shared" si="229"/>
        <v>0</v>
      </c>
      <c r="S199" s="201">
        <f t="shared" si="229"/>
        <v>0</v>
      </c>
      <c r="T199" s="201">
        <f t="shared" si="229"/>
        <v>0</v>
      </c>
      <c r="U199" s="201">
        <f t="shared" si="229"/>
        <v>0</v>
      </c>
      <c r="V199" s="196">
        <f t="shared" si="223"/>
        <v>0</v>
      </c>
      <c r="W199" s="196">
        <f t="shared" ca="1" si="224"/>
        <v>0</v>
      </c>
      <c r="Y199" s="201">
        <f t="shared" ca="1" si="225"/>
        <v>0</v>
      </c>
      <c r="Z199" s="201">
        <f t="shared" ca="1" si="226"/>
        <v>0</v>
      </c>
      <c r="AA199" s="201">
        <f t="shared" ca="1" si="227"/>
        <v>0</v>
      </c>
      <c r="AB199" s="201">
        <f t="shared" ca="1" si="228"/>
        <v>0</v>
      </c>
    </row>
    <row r="200" spans="2:28" ht="18" customHeight="1">
      <c r="B200" s="606"/>
      <c r="C200" s="607"/>
      <c r="D200" s="607"/>
      <c r="E200" s="607"/>
      <c r="F200" s="608"/>
      <c r="G200" s="602"/>
      <c r="H200" s="180"/>
      <c r="I200" s="223" t="s">
        <v>176</v>
      </c>
      <c r="J200" s="111">
        <f t="shared" ref="J200:U200" si="231">SUM(J201:J203)</f>
        <v>0</v>
      </c>
      <c r="K200" s="111">
        <f t="shared" si="231"/>
        <v>0</v>
      </c>
      <c r="L200" s="111">
        <f t="shared" si="231"/>
        <v>0</v>
      </c>
      <c r="M200" s="111">
        <f t="shared" si="231"/>
        <v>0</v>
      </c>
      <c r="N200" s="111">
        <f t="shared" si="231"/>
        <v>0</v>
      </c>
      <c r="O200" s="111">
        <f t="shared" si="231"/>
        <v>0</v>
      </c>
      <c r="P200" s="111">
        <f t="shared" si="231"/>
        <v>0</v>
      </c>
      <c r="Q200" s="111">
        <f t="shared" si="231"/>
        <v>0</v>
      </c>
      <c r="R200" s="111">
        <f t="shared" si="231"/>
        <v>250</v>
      </c>
      <c r="S200" s="111">
        <f t="shared" si="231"/>
        <v>300</v>
      </c>
      <c r="T200" s="111">
        <f t="shared" si="231"/>
        <v>100</v>
      </c>
      <c r="U200" s="111">
        <f t="shared" si="231"/>
        <v>0</v>
      </c>
      <c r="V200" s="111">
        <f t="shared" si="223"/>
        <v>650</v>
      </c>
      <c r="W200" s="111">
        <f t="shared" ca="1" si="224"/>
        <v>0</v>
      </c>
      <c r="Y200" s="111">
        <f t="shared" ca="1" si="225"/>
        <v>0</v>
      </c>
      <c r="Z200" s="111">
        <f t="shared" ca="1" si="226"/>
        <v>0</v>
      </c>
      <c r="AA200" s="111">
        <f t="shared" ca="1" si="227"/>
        <v>250</v>
      </c>
      <c r="AB200" s="111">
        <f t="shared" ca="1" si="228"/>
        <v>400</v>
      </c>
    </row>
    <row r="201" spans="2:28" ht="18" customHeight="1">
      <c r="B201" s="606"/>
      <c r="C201" s="607"/>
      <c r="D201" s="607"/>
      <c r="E201" s="607"/>
      <c r="F201" s="608"/>
      <c r="G201" s="602"/>
      <c r="H201" s="188"/>
      <c r="I201" s="214" t="s">
        <v>44</v>
      </c>
      <c r="J201" s="197">
        <f>+SUMIFS(J$189:J$194,$I$189:$I$194,$I$200,$H$189:$H$194,$I201)</f>
        <v>0</v>
      </c>
      <c r="K201" s="197">
        <f t="shared" ref="K201:U203" si="232">+SUMIFS(K$189:K$194,$I$189:$I$194,$I$200,$H$189:$H$194,$I201)</f>
        <v>0</v>
      </c>
      <c r="L201" s="197">
        <f t="shared" si="232"/>
        <v>0</v>
      </c>
      <c r="M201" s="197">
        <f t="shared" si="232"/>
        <v>0</v>
      </c>
      <c r="N201" s="197">
        <f t="shared" si="232"/>
        <v>0</v>
      </c>
      <c r="O201" s="197">
        <f t="shared" si="232"/>
        <v>0</v>
      </c>
      <c r="P201" s="197">
        <f t="shared" si="232"/>
        <v>0</v>
      </c>
      <c r="Q201" s="197">
        <f t="shared" si="232"/>
        <v>0</v>
      </c>
      <c r="R201" s="197">
        <f t="shared" si="232"/>
        <v>150</v>
      </c>
      <c r="S201" s="197">
        <f t="shared" si="232"/>
        <v>200</v>
      </c>
      <c r="T201" s="197">
        <f t="shared" si="232"/>
        <v>0</v>
      </c>
      <c r="U201" s="197">
        <f t="shared" si="232"/>
        <v>0</v>
      </c>
      <c r="V201" s="194">
        <f t="shared" si="223"/>
        <v>350</v>
      </c>
      <c r="W201" s="194">
        <f t="shared" ca="1" si="224"/>
        <v>0</v>
      </c>
      <c r="Y201" s="197">
        <f t="shared" ca="1" si="225"/>
        <v>0</v>
      </c>
      <c r="Z201" s="197">
        <f t="shared" ca="1" si="226"/>
        <v>0</v>
      </c>
      <c r="AA201" s="197">
        <f t="shared" ca="1" si="227"/>
        <v>150</v>
      </c>
      <c r="AB201" s="197">
        <f t="shared" ca="1" si="228"/>
        <v>200</v>
      </c>
    </row>
    <row r="202" spans="2:28" ht="18" customHeight="1">
      <c r="B202" s="606"/>
      <c r="C202" s="607"/>
      <c r="D202" s="607"/>
      <c r="E202" s="607"/>
      <c r="F202" s="608"/>
      <c r="G202" s="602"/>
      <c r="H202" s="189"/>
      <c r="I202" s="215" t="s">
        <v>33</v>
      </c>
      <c r="J202" s="199">
        <f t="shared" ref="J202:J203" si="233">+SUMIFS(J$189:J$194,$I$189:$I$194,$I$200,$H$189:$H$194,$I202)</f>
        <v>0</v>
      </c>
      <c r="K202" s="199">
        <f t="shared" si="232"/>
        <v>0</v>
      </c>
      <c r="L202" s="199">
        <f t="shared" si="232"/>
        <v>0</v>
      </c>
      <c r="M202" s="199">
        <f t="shared" si="232"/>
        <v>0</v>
      </c>
      <c r="N202" s="199">
        <f t="shared" si="232"/>
        <v>0</v>
      </c>
      <c r="O202" s="199">
        <f t="shared" si="232"/>
        <v>0</v>
      </c>
      <c r="P202" s="199">
        <f t="shared" si="232"/>
        <v>0</v>
      </c>
      <c r="Q202" s="199">
        <f t="shared" si="232"/>
        <v>0</v>
      </c>
      <c r="R202" s="199">
        <f t="shared" si="232"/>
        <v>100</v>
      </c>
      <c r="S202" s="199">
        <f t="shared" si="232"/>
        <v>100</v>
      </c>
      <c r="T202" s="199">
        <f t="shared" si="232"/>
        <v>100</v>
      </c>
      <c r="U202" s="199">
        <f t="shared" si="232"/>
        <v>0</v>
      </c>
      <c r="V202" s="195">
        <f t="shared" si="223"/>
        <v>300</v>
      </c>
      <c r="W202" s="195">
        <f t="shared" ca="1" si="224"/>
        <v>0</v>
      </c>
      <c r="Y202" s="199">
        <f t="shared" ca="1" si="225"/>
        <v>0</v>
      </c>
      <c r="Z202" s="199">
        <f t="shared" ca="1" si="226"/>
        <v>0</v>
      </c>
      <c r="AA202" s="199">
        <f t="shared" ca="1" si="227"/>
        <v>100</v>
      </c>
      <c r="AB202" s="199">
        <f t="shared" ca="1" si="228"/>
        <v>200</v>
      </c>
    </row>
    <row r="203" spans="2:28" ht="18" customHeight="1">
      <c r="B203" s="606"/>
      <c r="C203" s="607"/>
      <c r="D203" s="607"/>
      <c r="E203" s="607"/>
      <c r="F203" s="608"/>
      <c r="G203" s="602"/>
      <c r="H203" s="190"/>
      <c r="I203" s="216" t="s">
        <v>62</v>
      </c>
      <c r="J203" s="201">
        <f t="shared" si="233"/>
        <v>0</v>
      </c>
      <c r="K203" s="201">
        <f t="shared" si="232"/>
        <v>0</v>
      </c>
      <c r="L203" s="201">
        <f t="shared" si="232"/>
        <v>0</v>
      </c>
      <c r="M203" s="201">
        <f t="shared" si="232"/>
        <v>0</v>
      </c>
      <c r="N203" s="201">
        <f t="shared" si="232"/>
        <v>0</v>
      </c>
      <c r="O203" s="201">
        <f t="shared" si="232"/>
        <v>0</v>
      </c>
      <c r="P203" s="201">
        <f t="shared" si="232"/>
        <v>0</v>
      </c>
      <c r="Q203" s="201">
        <f t="shared" si="232"/>
        <v>0</v>
      </c>
      <c r="R203" s="201">
        <f t="shared" si="232"/>
        <v>0</v>
      </c>
      <c r="S203" s="201">
        <f t="shared" si="232"/>
        <v>0</v>
      </c>
      <c r="T203" s="201">
        <f t="shared" si="232"/>
        <v>0</v>
      </c>
      <c r="U203" s="201">
        <f t="shared" si="232"/>
        <v>0</v>
      </c>
      <c r="V203" s="196">
        <f t="shared" si="223"/>
        <v>0</v>
      </c>
      <c r="W203" s="196">
        <f t="shared" ca="1" si="224"/>
        <v>0</v>
      </c>
      <c r="Y203" s="201">
        <f t="shared" ca="1" si="225"/>
        <v>0</v>
      </c>
      <c r="Z203" s="201">
        <f t="shared" ca="1" si="226"/>
        <v>0</v>
      </c>
      <c r="AA203" s="201">
        <f t="shared" ca="1" si="227"/>
        <v>0</v>
      </c>
      <c r="AB203" s="201">
        <f t="shared" ca="1" si="228"/>
        <v>0</v>
      </c>
    </row>
    <row r="204" spans="2:28" ht="18" customHeight="1">
      <c r="B204" s="606"/>
      <c r="C204" s="607"/>
      <c r="D204" s="607"/>
      <c r="E204" s="607"/>
      <c r="F204" s="608"/>
      <c r="G204" s="602"/>
      <c r="H204" s="180"/>
      <c r="I204" s="223" t="s">
        <v>177</v>
      </c>
      <c r="J204" s="111">
        <f>SUM(J205:J207)</f>
        <v>0</v>
      </c>
      <c r="K204" s="111">
        <f t="shared" ref="K204:U204" si="234">SUM(K205:K207)</f>
        <v>0</v>
      </c>
      <c r="L204" s="111">
        <f t="shared" si="234"/>
        <v>0</v>
      </c>
      <c r="M204" s="111">
        <f t="shared" si="234"/>
        <v>0</v>
      </c>
      <c r="N204" s="111">
        <f t="shared" si="234"/>
        <v>0</v>
      </c>
      <c r="O204" s="111">
        <f t="shared" si="234"/>
        <v>0</v>
      </c>
      <c r="P204" s="111">
        <f t="shared" si="234"/>
        <v>0</v>
      </c>
      <c r="Q204" s="111">
        <f t="shared" si="234"/>
        <v>0</v>
      </c>
      <c r="R204" s="111">
        <f t="shared" si="234"/>
        <v>0</v>
      </c>
      <c r="S204" s="111">
        <f t="shared" si="234"/>
        <v>0</v>
      </c>
      <c r="T204" s="111">
        <f t="shared" si="234"/>
        <v>0</v>
      </c>
      <c r="U204" s="111">
        <f t="shared" si="234"/>
        <v>0</v>
      </c>
      <c r="V204" s="111">
        <f t="shared" si="223"/>
        <v>0</v>
      </c>
      <c r="W204" s="111">
        <f t="shared" ca="1" si="224"/>
        <v>0</v>
      </c>
      <c r="Y204" s="111">
        <f t="shared" ca="1" si="225"/>
        <v>0</v>
      </c>
      <c r="Z204" s="111">
        <f t="shared" ca="1" si="226"/>
        <v>0</v>
      </c>
      <c r="AA204" s="111">
        <f t="shared" ca="1" si="227"/>
        <v>0</v>
      </c>
      <c r="AB204" s="111">
        <f t="shared" ca="1" si="228"/>
        <v>0</v>
      </c>
    </row>
    <row r="205" spans="2:28" ht="18" customHeight="1">
      <c r="B205" s="606"/>
      <c r="C205" s="607"/>
      <c r="D205" s="607"/>
      <c r="E205" s="607"/>
      <c r="F205" s="608"/>
      <c r="G205" s="602"/>
      <c r="H205" s="188"/>
      <c r="I205" s="214" t="s">
        <v>44</v>
      </c>
      <c r="J205" s="197">
        <f>+SUMIFS(J$189:J$194,$I$189:$I$194,$I$204,$H$189:$H$194,$I205)</f>
        <v>0</v>
      </c>
      <c r="K205" s="197">
        <f t="shared" ref="K205:U207" si="235">+SUMIFS(K$189:K$194,$I$189:$I$194,$I$204,$H$189:$H$194,$I205)</f>
        <v>0</v>
      </c>
      <c r="L205" s="197">
        <f t="shared" si="235"/>
        <v>0</v>
      </c>
      <c r="M205" s="197">
        <f t="shared" si="235"/>
        <v>0</v>
      </c>
      <c r="N205" s="197">
        <f t="shared" si="235"/>
        <v>0</v>
      </c>
      <c r="O205" s="197">
        <f t="shared" si="235"/>
        <v>0</v>
      </c>
      <c r="P205" s="197">
        <f t="shared" si="235"/>
        <v>0</v>
      </c>
      <c r="Q205" s="197">
        <f t="shared" si="235"/>
        <v>0</v>
      </c>
      <c r="R205" s="197">
        <f t="shared" si="235"/>
        <v>0</v>
      </c>
      <c r="S205" s="197">
        <f t="shared" si="235"/>
        <v>0</v>
      </c>
      <c r="T205" s="197">
        <f t="shared" si="235"/>
        <v>0</v>
      </c>
      <c r="U205" s="197">
        <f t="shared" si="235"/>
        <v>0</v>
      </c>
      <c r="V205" s="194">
        <f>SUM(J205:U205)</f>
        <v>0</v>
      </c>
      <c r="W205" s="194">
        <f ca="1">SUM(OFFSET(J205,0,0,1,$A$1))</f>
        <v>0</v>
      </c>
      <c r="Y205" s="197">
        <f t="shared" ca="1" si="225"/>
        <v>0</v>
      </c>
      <c r="Z205" s="197">
        <f t="shared" ca="1" si="226"/>
        <v>0</v>
      </c>
      <c r="AA205" s="197">
        <f t="shared" ca="1" si="227"/>
        <v>0</v>
      </c>
      <c r="AB205" s="197">
        <f t="shared" ca="1" si="228"/>
        <v>0</v>
      </c>
    </row>
    <row r="206" spans="2:28" ht="18" customHeight="1">
      <c r="B206" s="606"/>
      <c r="C206" s="607"/>
      <c r="D206" s="607"/>
      <c r="E206" s="607"/>
      <c r="F206" s="608"/>
      <c r="G206" s="602"/>
      <c r="H206" s="189"/>
      <c r="I206" s="215" t="s">
        <v>33</v>
      </c>
      <c r="J206" s="199">
        <f t="shared" ref="J206:J207" si="236">+SUMIFS(J$189:J$194,$I$189:$I$194,$I$204,$H$189:$H$194,$I206)</f>
        <v>0</v>
      </c>
      <c r="K206" s="199">
        <f t="shared" si="235"/>
        <v>0</v>
      </c>
      <c r="L206" s="199">
        <f t="shared" si="235"/>
        <v>0</v>
      </c>
      <c r="M206" s="199">
        <f t="shared" si="235"/>
        <v>0</v>
      </c>
      <c r="N206" s="199">
        <f t="shared" si="235"/>
        <v>0</v>
      </c>
      <c r="O206" s="199">
        <f t="shared" si="235"/>
        <v>0</v>
      </c>
      <c r="P206" s="199">
        <f t="shared" si="235"/>
        <v>0</v>
      </c>
      <c r="Q206" s="199">
        <f t="shared" si="235"/>
        <v>0</v>
      </c>
      <c r="R206" s="199">
        <f t="shared" si="235"/>
        <v>0</v>
      </c>
      <c r="S206" s="199">
        <f t="shared" si="235"/>
        <v>0</v>
      </c>
      <c r="T206" s="199">
        <f t="shared" si="235"/>
        <v>0</v>
      </c>
      <c r="U206" s="199">
        <f t="shared" si="235"/>
        <v>0</v>
      </c>
      <c r="V206" s="195">
        <f t="shared" ref="V206:V207" si="237">SUM(J206:U206)</f>
        <v>0</v>
      </c>
      <c r="W206" s="195">
        <f t="shared" ref="W206:W207" ca="1" si="238">SUM(OFFSET(J206,0,0,1,$A$1))</f>
        <v>0</v>
      </c>
      <c r="Y206" s="199">
        <f t="shared" ca="1" si="225"/>
        <v>0</v>
      </c>
      <c r="Z206" s="199">
        <f t="shared" ca="1" si="226"/>
        <v>0</v>
      </c>
      <c r="AA206" s="199">
        <f t="shared" ca="1" si="227"/>
        <v>0</v>
      </c>
      <c r="AB206" s="199">
        <f t="shared" ca="1" si="228"/>
        <v>0</v>
      </c>
    </row>
    <row r="207" spans="2:28" ht="18" customHeight="1">
      <c r="B207" s="609"/>
      <c r="C207" s="610"/>
      <c r="D207" s="610"/>
      <c r="E207" s="610"/>
      <c r="F207" s="611"/>
      <c r="G207" s="602"/>
      <c r="H207" s="190"/>
      <c r="I207" s="216" t="s">
        <v>62</v>
      </c>
      <c r="J207" s="201">
        <f t="shared" si="236"/>
        <v>0</v>
      </c>
      <c r="K207" s="201">
        <f t="shared" si="235"/>
        <v>0</v>
      </c>
      <c r="L207" s="201">
        <f t="shared" si="235"/>
        <v>0</v>
      </c>
      <c r="M207" s="201">
        <f t="shared" si="235"/>
        <v>0</v>
      </c>
      <c r="N207" s="201">
        <f t="shared" si="235"/>
        <v>0</v>
      </c>
      <c r="O207" s="201">
        <f t="shared" si="235"/>
        <v>0</v>
      </c>
      <c r="P207" s="201">
        <f t="shared" si="235"/>
        <v>0</v>
      </c>
      <c r="Q207" s="201">
        <f t="shared" si="235"/>
        <v>0</v>
      </c>
      <c r="R207" s="201">
        <f t="shared" si="235"/>
        <v>0</v>
      </c>
      <c r="S207" s="201">
        <f t="shared" si="235"/>
        <v>0</v>
      </c>
      <c r="T207" s="201">
        <f t="shared" si="235"/>
        <v>0</v>
      </c>
      <c r="U207" s="201">
        <f t="shared" si="235"/>
        <v>0</v>
      </c>
      <c r="V207" s="196">
        <f t="shared" si="237"/>
        <v>0</v>
      </c>
      <c r="W207" s="196">
        <f t="shared" ca="1" si="238"/>
        <v>0</v>
      </c>
      <c r="Y207" s="201">
        <f t="shared" ca="1" si="225"/>
        <v>0</v>
      </c>
      <c r="Z207" s="201">
        <f t="shared" ca="1" si="226"/>
        <v>0</v>
      </c>
      <c r="AA207" s="201">
        <f t="shared" ca="1" si="227"/>
        <v>0</v>
      </c>
      <c r="AB207" s="201">
        <f t="shared" ca="1" si="228"/>
        <v>0</v>
      </c>
    </row>
    <row r="210" spans="1:28" ht="45" hidden="1" customHeight="1">
      <c r="A210" s="56"/>
      <c r="B210" s="43"/>
      <c r="C210" s="43"/>
      <c r="D210" s="171"/>
      <c r="E210" s="171"/>
      <c r="F210" s="171"/>
      <c r="G210" s="94"/>
      <c r="H210" s="94"/>
      <c r="I210" s="209" t="s">
        <v>167</v>
      </c>
      <c r="J210" s="210">
        <v>45748</v>
      </c>
      <c r="K210" s="210">
        <v>45778</v>
      </c>
      <c r="L210" s="210">
        <v>45809</v>
      </c>
      <c r="M210" s="210">
        <v>45839</v>
      </c>
      <c r="N210" s="210">
        <v>45870</v>
      </c>
      <c r="O210" s="210">
        <v>45901</v>
      </c>
      <c r="P210" s="210">
        <v>45931</v>
      </c>
      <c r="Q210" s="210">
        <v>45962</v>
      </c>
      <c r="R210" s="210">
        <v>45992</v>
      </c>
      <c r="S210" s="210">
        <v>46023</v>
      </c>
      <c r="T210" s="210">
        <v>46054</v>
      </c>
      <c r="U210" s="210">
        <v>46082</v>
      </c>
      <c r="V210" s="210" t="s">
        <v>168</v>
      </c>
      <c r="W210" s="210" t="str">
        <f>+W31</f>
        <v>Cumm till 30-Nov-25</v>
      </c>
      <c r="Y210" s="210" t="s">
        <v>170</v>
      </c>
      <c r="Z210" s="210" t="s">
        <v>171</v>
      </c>
      <c r="AA210" s="210" t="s">
        <v>172</v>
      </c>
      <c r="AB210" s="210" t="s">
        <v>173</v>
      </c>
    </row>
    <row r="211" spans="1:28" ht="20.100000000000001" customHeight="1">
      <c r="A211" s="56"/>
      <c r="B211" s="603" t="s">
        <v>205</v>
      </c>
      <c r="C211" s="604"/>
      <c r="D211" s="604"/>
      <c r="E211" s="604"/>
      <c r="F211" s="605"/>
      <c r="G211" s="602"/>
      <c r="H211" s="180"/>
      <c r="I211" s="223" t="s">
        <v>175</v>
      </c>
      <c r="J211" s="111">
        <f>SUM(J212:J214)</f>
        <v>182</v>
      </c>
      <c r="K211" s="111">
        <f t="shared" ref="K211:U211" si="239">SUM(K212:K214)</f>
        <v>182</v>
      </c>
      <c r="L211" s="111">
        <f t="shared" si="239"/>
        <v>244.4</v>
      </c>
      <c r="M211" s="111">
        <f t="shared" si="239"/>
        <v>93.6</v>
      </c>
      <c r="N211" s="111">
        <f t="shared" si="239"/>
        <v>26</v>
      </c>
      <c r="O211" s="111">
        <f t="shared" si="239"/>
        <v>26</v>
      </c>
      <c r="P211" s="111">
        <f t="shared" si="239"/>
        <v>52</v>
      </c>
      <c r="Q211" s="111">
        <f t="shared" si="239"/>
        <v>130</v>
      </c>
      <c r="R211" s="111">
        <f t="shared" si="239"/>
        <v>130</v>
      </c>
      <c r="S211" s="111">
        <f t="shared" si="239"/>
        <v>62.400000000000006</v>
      </c>
      <c r="T211" s="111">
        <f t="shared" si="239"/>
        <v>0</v>
      </c>
      <c r="U211" s="111">
        <f t="shared" si="239"/>
        <v>75.899999999999991</v>
      </c>
      <c r="V211" s="111">
        <f>SUM(J211:U211)</f>
        <v>1204.3000000000002</v>
      </c>
      <c r="W211" s="111">
        <f t="shared" ref="W211:W222" ca="1" si="240">SUM(OFFSET(J211,0,0,1,$A$1))</f>
        <v>936</v>
      </c>
      <c r="Y211" s="111">
        <f ca="1">SUM(OFFSET($J211,0,0,1,$A$2))</f>
        <v>608.4</v>
      </c>
      <c r="Z211" s="111">
        <f ca="1">SUM(OFFSET($M211,0,0,1,$A$2))</f>
        <v>145.6</v>
      </c>
      <c r="AA211" s="111">
        <f ca="1">SUM(OFFSET($P211,0,0,1,$A$2))</f>
        <v>312</v>
      </c>
      <c r="AB211" s="111">
        <f ca="1">SUM(OFFSET($S211,0,0,1,$A$2))</f>
        <v>138.30000000000001</v>
      </c>
    </row>
    <row r="212" spans="1:28" ht="20.100000000000001" customHeight="1">
      <c r="A212" s="56"/>
      <c r="B212" s="606"/>
      <c r="C212" s="607"/>
      <c r="D212" s="607"/>
      <c r="E212" s="607"/>
      <c r="F212" s="608"/>
      <c r="G212" s="602"/>
      <c r="H212" s="188"/>
      <c r="I212" s="203" t="s">
        <v>44</v>
      </c>
      <c r="J212" s="197">
        <f>+J264+J307</f>
        <v>0</v>
      </c>
      <c r="K212" s="197">
        <f t="shared" ref="K212:U212" si="241">+K264+K307</f>
        <v>0</v>
      </c>
      <c r="L212" s="197">
        <f t="shared" si="241"/>
        <v>0</v>
      </c>
      <c r="M212" s="197">
        <f t="shared" si="241"/>
        <v>72.8</v>
      </c>
      <c r="N212" s="197">
        <f t="shared" si="241"/>
        <v>26</v>
      </c>
      <c r="O212" s="197">
        <f t="shared" si="241"/>
        <v>26</v>
      </c>
      <c r="P212" s="197">
        <f t="shared" si="241"/>
        <v>52</v>
      </c>
      <c r="Q212" s="197">
        <f t="shared" si="241"/>
        <v>26</v>
      </c>
      <c r="R212" s="197">
        <f t="shared" si="241"/>
        <v>0</v>
      </c>
      <c r="S212" s="197">
        <f t="shared" si="241"/>
        <v>0</v>
      </c>
      <c r="T212" s="197">
        <f t="shared" si="241"/>
        <v>0</v>
      </c>
      <c r="U212" s="197">
        <f t="shared" si="241"/>
        <v>0</v>
      </c>
      <c r="V212" s="194">
        <f t="shared" ref="V212:V222" si="242">SUM(J212:U212)</f>
        <v>202.8</v>
      </c>
      <c r="W212" s="194">
        <f t="shared" ca="1" si="240"/>
        <v>202.8</v>
      </c>
      <c r="Y212" s="197">
        <f t="shared" ref="Y212:Y222" ca="1" si="243">SUM(OFFSET($J212,0,0,1,$A$2))</f>
        <v>0</v>
      </c>
      <c r="Z212" s="197">
        <f t="shared" ref="Z212:Z222" ca="1" si="244">SUM(OFFSET($M212,0,0,1,$A$2))</f>
        <v>124.8</v>
      </c>
      <c r="AA212" s="197">
        <f t="shared" ref="AA212:AA222" ca="1" si="245">SUM(OFFSET($P212,0,0,1,$A$2))</f>
        <v>78</v>
      </c>
      <c r="AB212" s="197">
        <f t="shared" ref="AB212:AB222" ca="1" si="246">SUM(OFFSET($S212,0,0,1,$A$2))</f>
        <v>0</v>
      </c>
    </row>
    <row r="213" spans="1:28" ht="20.100000000000001" customHeight="1">
      <c r="B213" s="606"/>
      <c r="C213" s="607"/>
      <c r="D213" s="607"/>
      <c r="E213" s="607"/>
      <c r="F213" s="608"/>
      <c r="G213" s="602"/>
      <c r="H213" s="189"/>
      <c r="I213" s="204" t="s">
        <v>33</v>
      </c>
      <c r="J213" s="199">
        <f t="shared" ref="J213:U213" si="247">+J265+J308</f>
        <v>156</v>
      </c>
      <c r="K213" s="199">
        <f t="shared" si="247"/>
        <v>150.80000000000001</v>
      </c>
      <c r="L213" s="199">
        <f t="shared" si="247"/>
        <v>244.4</v>
      </c>
      <c r="M213" s="199">
        <f t="shared" si="247"/>
        <v>20.8</v>
      </c>
      <c r="N213" s="199">
        <f t="shared" si="247"/>
        <v>0</v>
      </c>
      <c r="O213" s="199">
        <f t="shared" si="247"/>
        <v>0</v>
      </c>
      <c r="P213" s="199">
        <f t="shared" si="247"/>
        <v>0</v>
      </c>
      <c r="Q213" s="199">
        <f t="shared" si="247"/>
        <v>104</v>
      </c>
      <c r="R213" s="199">
        <f t="shared" si="247"/>
        <v>130</v>
      </c>
      <c r="S213" s="199">
        <f t="shared" si="247"/>
        <v>62.400000000000006</v>
      </c>
      <c r="T213" s="199">
        <f t="shared" si="247"/>
        <v>0</v>
      </c>
      <c r="U213" s="199">
        <f t="shared" si="247"/>
        <v>75.899999999999991</v>
      </c>
      <c r="V213" s="195">
        <f t="shared" si="242"/>
        <v>944.3</v>
      </c>
      <c r="W213" s="195">
        <f t="shared" ca="1" si="240"/>
        <v>676</v>
      </c>
      <c r="Y213" s="199">
        <f t="shared" ca="1" si="243"/>
        <v>551.20000000000005</v>
      </c>
      <c r="Z213" s="199">
        <f t="shared" ca="1" si="244"/>
        <v>20.8</v>
      </c>
      <c r="AA213" s="199">
        <f t="shared" ca="1" si="245"/>
        <v>234</v>
      </c>
      <c r="AB213" s="199">
        <f t="shared" ca="1" si="246"/>
        <v>138.30000000000001</v>
      </c>
    </row>
    <row r="214" spans="1:28" ht="20.100000000000001" customHeight="1">
      <c r="B214" s="606"/>
      <c r="C214" s="607"/>
      <c r="D214" s="607"/>
      <c r="E214" s="607"/>
      <c r="F214" s="608"/>
      <c r="G214" s="602"/>
      <c r="H214" s="190"/>
      <c r="I214" s="205" t="s">
        <v>62</v>
      </c>
      <c r="J214" s="201">
        <f t="shared" ref="J214:U214" si="248">+J266+J309</f>
        <v>26</v>
      </c>
      <c r="K214" s="201">
        <f t="shared" si="248"/>
        <v>31.200000000000003</v>
      </c>
      <c r="L214" s="201">
        <f t="shared" si="248"/>
        <v>0</v>
      </c>
      <c r="M214" s="201">
        <f t="shared" si="248"/>
        <v>0</v>
      </c>
      <c r="N214" s="201">
        <f t="shared" si="248"/>
        <v>0</v>
      </c>
      <c r="O214" s="201">
        <f t="shared" si="248"/>
        <v>0</v>
      </c>
      <c r="P214" s="201">
        <f t="shared" si="248"/>
        <v>0</v>
      </c>
      <c r="Q214" s="201">
        <f t="shared" si="248"/>
        <v>0</v>
      </c>
      <c r="R214" s="201">
        <f t="shared" si="248"/>
        <v>0</v>
      </c>
      <c r="S214" s="201">
        <f t="shared" si="248"/>
        <v>0</v>
      </c>
      <c r="T214" s="201">
        <f t="shared" si="248"/>
        <v>0</v>
      </c>
      <c r="U214" s="201">
        <f t="shared" si="248"/>
        <v>0</v>
      </c>
      <c r="V214" s="196">
        <f t="shared" si="242"/>
        <v>57.2</v>
      </c>
      <c r="W214" s="196">
        <f t="shared" ca="1" si="240"/>
        <v>57.2</v>
      </c>
      <c r="Y214" s="201">
        <f t="shared" ca="1" si="243"/>
        <v>57.2</v>
      </c>
      <c r="Z214" s="201">
        <f t="shared" ca="1" si="244"/>
        <v>0</v>
      </c>
      <c r="AA214" s="201">
        <f t="shared" ca="1" si="245"/>
        <v>0</v>
      </c>
      <c r="AB214" s="201">
        <f t="shared" ca="1" si="246"/>
        <v>0</v>
      </c>
    </row>
    <row r="215" spans="1:28" ht="20.100000000000001" customHeight="1">
      <c r="B215" s="606"/>
      <c r="C215" s="607"/>
      <c r="D215" s="607"/>
      <c r="E215" s="607"/>
      <c r="F215" s="608"/>
      <c r="G215" s="602"/>
      <c r="H215" s="180"/>
      <c r="I215" s="223" t="s">
        <v>176</v>
      </c>
      <c r="J215" s="111">
        <f t="shared" ref="J215" si="249">SUM(J216:J218)</f>
        <v>104</v>
      </c>
      <c r="K215" s="111">
        <f t="shared" ref="K215:U215" si="250">SUM(K216:K218)</f>
        <v>26</v>
      </c>
      <c r="L215" s="111">
        <f t="shared" si="250"/>
        <v>161.19999999999999</v>
      </c>
      <c r="M215" s="111">
        <f t="shared" si="250"/>
        <v>78</v>
      </c>
      <c r="N215" s="111">
        <f t="shared" si="250"/>
        <v>78</v>
      </c>
      <c r="O215" s="111">
        <f t="shared" si="250"/>
        <v>78</v>
      </c>
      <c r="P215" s="111">
        <f t="shared" si="250"/>
        <v>104</v>
      </c>
      <c r="Q215" s="111">
        <f t="shared" si="250"/>
        <v>104</v>
      </c>
      <c r="R215" s="111">
        <f t="shared" si="250"/>
        <v>98.8</v>
      </c>
      <c r="S215" s="111">
        <f t="shared" si="250"/>
        <v>104</v>
      </c>
      <c r="T215" s="111">
        <f t="shared" si="250"/>
        <v>130</v>
      </c>
      <c r="U215" s="111">
        <f t="shared" si="250"/>
        <v>138.30000000000001</v>
      </c>
      <c r="V215" s="111">
        <f t="shared" si="242"/>
        <v>1204.3</v>
      </c>
      <c r="W215" s="111">
        <f t="shared" ca="1" si="240"/>
        <v>733.2</v>
      </c>
      <c r="Y215" s="111">
        <f t="shared" ca="1" si="243"/>
        <v>291.2</v>
      </c>
      <c r="Z215" s="111">
        <f t="shared" ca="1" si="244"/>
        <v>234</v>
      </c>
      <c r="AA215" s="111">
        <f t="shared" ca="1" si="245"/>
        <v>306.8</v>
      </c>
      <c r="AB215" s="111">
        <f t="shared" ca="1" si="246"/>
        <v>372.3</v>
      </c>
    </row>
    <row r="216" spans="1:28" ht="20.100000000000001" customHeight="1">
      <c r="B216" s="606"/>
      <c r="C216" s="607"/>
      <c r="D216" s="607"/>
      <c r="E216" s="607"/>
      <c r="F216" s="608"/>
      <c r="G216" s="602"/>
      <c r="H216" s="188"/>
      <c r="I216" s="203" t="s">
        <v>44</v>
      </c>
      <c r="J216" s="197">
        <f t="shared" ref="J216:U216" si="251">+J268+J311</f>
        <v>0</v>
      </c>
      <c r="K216" s="197">
        <f t="shared" si="251"/>
        <v>0</v>
      </c>
      <c r="L216" s="197">
        <f t="shared" si="251"/>
        <v>0</v>
      </c>
      <c r="M216" s="197">
        <f t="shared" si="251"/>
        <v>0</v>
      </c>
      <c r="N216" s="197">
        <f t="shared" si="251"/>
        <v>0</v>
      </c>
      <c r="O216" s="197">
        <f t="shared" si="251"/>
        <v>0</v>
      </c>
      <c r="P216" s="197">
        <f t="shared" si="251"/>
        <v>0</v>
      </c>
      <c r="Q216" s="197">
        <f t="shared" si="251"/>
        <v>104</v>
      </c>
      <c r="R216" s="197">
        <f t="shared" si="251"/>
        <v>98.8</v>
      </c>
      <c r="S216" s="197">
        <f t="shared" si="251"/>
        <v>0</v>
      </c>
      <c r="T216" s="197">
        <f t="shared" si="251"/>
        <v>0</v>
      </c>
      <c r="U216" s="197">
        <f t="shared" si="251"/>
        <v>0</v>
      </c>
      <c r="V216" s="194">
        <f t="shared" si="242"/>
        <v>202.8</v>
      </c>
      <c r="W216" s="194">
        <f t="shared" ca="1" si="240"/>
        <v>104</v>
      </c>
      <c r="Y216" s="197">
        <f t="shared" ca="1" si="243"/>
        <v>0</v>
      </c>
      <c r="Z216" s="197">
        <f t="shared" ca="1" si="244"/>
        <v>0</v>
      </c>
      <c r="AA216" s="197">
        <f t="shared" ca="1" si="245"/>
        <v>202.8</v>
      </c>
      <c r="AB216" s="197">
        <f t="shared" ca="1" si="246"/>
        <v>0</v>
      </c>
    </row>
    <row r="217" spans="1:28" ht="20.100000000000001" customHeight="1">
      <c r="B217" s="606"/>
      <c r="C217" s="607"/>
      <c r="D217" s="607"/>
      <c r="E217" s="607"/>
      <c r="F217" s="608"/>
      <c r="G217" s="602"/>
      <c r="H217" s="189"/>
      <c r="I217" s="204" t="s">
        <v>33</v>
      </c>
      <c r="J217" s="199">
        <f t="shared" ref="J217:U217" si="252">+J269+J312</f>
        <v>104</v>
      </c>
      <c r="K217" s="199">
        <f t="shared" si="252"/>
        <v>0</v>
      </c>
      <c r="L217" s="199">
        <f t="shared" si="252"/>
        <v>130</v>
      </c>
      <c r="M217" s="199">
        <f t="shared" si="252"/>
        <v>78</v>
      </c>
      <c r="N217" s="199">
        <f t="shared" si="252"/>
        <v>78</v>
      </c>
      <c r="O217" s="199">
        <f t="shared" si="252"/>
        <v>78</v>
      </c>
      <c r="P217" s="199">
        <f t="shared" si="252"/>
        <v>104</v>
      </c>
      <c r="Q217" s="199">
        <f t="shared" si="252"/>
        <v>0</v>
      </c>
      <c r="R217" s="199">
        <f t="shared" si="252"/>
        <v>0</v>
      </c>
      <c r="S217" s="199">
        <f t="shared" si="252"/>
        <v>104</v>
      </c>
      <c r="T217" s="199">
        <f t="shared" si="252"/>
        <v>130</v>
      </c>
      <c r="U217" s="199">
        <f t="shared" si="252"/>
        <v>138.30000000000001</v>
      </c>
      <c r="V217" s="195">
        <f t="shared" si="242"/>
        <v>944.3</v>
      </c>
      <c r="W217" s="195">
        <f t="shared" ca="1" si="240"/>
        <v>572</v>
      </c>
      <c r="Y217" s="199">
        <f t="shared" ca="1" si="243"/>
        <v>234</v>
      </c>
      <c r="Z217" s="199">
        <f t="shared" ca="1" si="244"/>
        <v>234</v>
      </c>
      <c r="AA217" s="199">
        <f t="shared" ca="1" si="245"/>
        <v>104</v>
      </c>
      <c r="AB217" s="199">
        <f t="shared" ca="1" si="246"/>
        <v>372.3</v>
      </c>
    </row>
    <row r="218" spans="1:28" ht="20.100000000000001" customHeight="1">
      <c r="B218" s="606"/>
      <c r="C218" s="607"/>
      <c r="D218" s="607"/>
      <c r="E218" s="607"/>
      <c r="F218" s="608"/>
      <c r="G218" s="602"/>
      <c r="H218" s="190"/>
      <c r="I218" s="205" t="s">
        <v>62</v>
      </c>
      <c r="J218" s="201">
        <f t="shared" ref="J218:U218" si="253">+J270+J313</f>
        <v>0</v>
      </c>
      <c r="K218" s="201">
        <f t="shared" si="253"/>
        <v>26</v>
      </c>
      <c r="L218" s="201">
        <f t="shared" si="253"/>
        <v>31.200000000000003</v>
      </c>
      <c r="M218" s="201">
        <f t="shared" si="253"/>
        <v>0</v>
      </c>
      <c r="N218" s="201">
        <f t="shared" si="253"/>
        <v>0</v>
      </c>
      <c r="O218" s="201">
        <f t="shared" si="253"/>
        <v>0</v>
      </c>
      <c r="P218" s="201">
        <f t="shared" si="253"/>
        <v>0</v>
      </c>
      <c r="Q218" s="201">
        <f t="shared" si="253"/>
        <v>0</v>
      </c>
      <c r="R218" s="201">
        <f t="shared" si="253"/>
        <v>0</v>
      </c>
      <c r="S218" s="201">
        <f t="shared" si="253"/>
        <v>0</v>
      </c>
      <c r="T218" s="201">
        <f t="shared" si="253"/>
        <v>0</v>
      </c>
      <c r="U218" s="201">
        <f t="shared" si="253"/>
        <v>0</v>
      </c>
      <c r="V218" s="196">
        <f t="shared" si="242"/>
        <v>57.2</v>
      </c>
      <c r="W218" s="196">
        <f t="shared" ca="1" si="240"/>
        <v>57.2</v>
      </c>
      <c r="Y218" s="201">
        <f t="shared" ca="1" si="243"/>
        <v>57.2</v>
      </c>
      <c r="Z218" s="201">
        <f t="shared" ca="1" si="244"/>
        <v>0</v>
      </c>
      <c r="AA218" s="201">
        <f t="shared" ca="1" si="245"/>
        <v>0</v>
      </c>
      <c r="AB218" s="201">
        <f t="shared" ca="1" si="246"/>
        <v>0</v>
      </c>
    </row>
    <row r="219" spans="1:28" ht="20.100000000000001" customHeight="1">
      <c r="B219" s="606"/>
      <c r="C219" s="607"/>
      <c r="D219" s="607"/>
      <c r="E219" s="607"/>
      <c r="F219" s="608"/>
      <c r="G219" s="602"/>
      <c r="H219" s="180"/>
      <c r="I219" s="223" t="s">
        <v>177</v>
      </c>
      <c r="J219" s="111">
        <f t="shared" ref="J219" si="254">SUM(J220:J222)</f>
        <v>104</v>
      </c>
      <c r="K219" s="111">
        <f t="shared" ref="K219:U219" si="255">SUM(K220:K222)</f>
        <v>26</v>
      </c>
      <c r="L219" s="111">
        <f t="shared" si="255"/>
        <v>161.19999999999999</v>
      </c>
      <c r="M219" s="111">
        <f t="shared" si="255"/>
        <v>67.599999999999994</v>
      </c>
      <c r="N219" s="111">
        <f t="shared" si="255"/>
        <v>124.80000000000001</v>
      </c>
      <c r="O219" s="111">
        <f t="shared" si="255"/>
        <v>31.200000000000003</v>
      </c>
      <c r="P219" s="111">
        <f t="shared" si="255"/>
        <v>78</v>
      </c>
      <c r="Q219" s="111">
        <f t="shared" si="255"/>
        <v>83.200000000000017</v>
      </c>
      <c r="R219" s="111">
        <f t="shared" si="255"/>
        <v>57.2</v>
      </c>
      <c r="S219" s="111">
        <f t="shared" si="255"/>
        <v>114.4</v>
      </c>
      <c r="T219" s="111">
        <f t="shared" si="255"/>
        <v>171.60000000000002</v>
      </c>
      <c r="U219" s="111">
        <f t="shared" si="255"/>
        <v>185.10000000000002</v>
      </c>
      <c r="V219" s="111">
        <f t="shared" si="242"/>
        <v>1204.3000000000002</v>
      </c>
      <c r="W219" s="111">
        <f t="shared" ca="1" si="240"/>
        <v>676</v>
      </c>
      <c r="Y219" s="111">
        <f t="shared" ca="1" si="243"/>
        <v>291.2</v>
      </c>
      <c r="Z219" s="111">
        <f t="shared" ca="1" si="244"/>
        <v>223.60000000000002</v>
      </c>
      <c r="AA219" s="111">
        <f t="shared" ca="1" si="245"/>
        <v>218.40000000000003</v>
      </c>
      <c r="AB219" s="111">
        <f t="shared" ca="1" si="246"/>
        <v>471.1</v>
      </c>
    </row>
    <row r="220" spans="1:28" ht="20.100000000000001" customHeight="1">
      <c r="B220" s="606"/>
      <c r="C220" s="607"/>
      <c r="D220" s="607"/>
      <c r="E220" s="607"/>
      <c r="F220" s="608"/>
      <c r="G220" s="602"/>
      <c r="H220" s="188"/>
      <c r="I220" s="203" t="s">
        <v>44</v>
      </c>
      <c r="J220" s="197">
        <f t="shared" ref="J220:U220" si="256">+J272+J315</f>
        <v>0</v>
      </c>
      <c r="K220" s="197">
        <f t="shared" si="256"/>
        <v>0</v>
      </c>
      <c r="L220" s="197">
        <f t="shared" si="256"/>
        <v>0</v>
      </c>
      <c r="M220" s="197">
        <f t="shared" si="256"/>
        <v>0</v>
      </c>
      <c r="N220" s="197">
        <f t="shared" si="256"/>
        <v>0</v>
      </c>
      <c r="O220" s="197">
        <f t="shared" si="256"/>
        <v>0</v>
      </c>
      <c r="P220" s="197">
        <f t="shared" si="256"/>
        <v>78</v>
      </c>
      <c r="Q220" s="197">
        <f t="shared" si="256"/>
        <v>46.800000000000004</v>
      </c>
      <c r="R220" s="197">
        <f t="shared" si="256"/>
        <v>57.2</v>
      </c>
      <c r="S220" s="197">
        <f t="shared" si="256"/>
        <v>0</v>
      </c>
      <c r="T220" s="197">
        <f t="shared" si="256"/>
        <v>0</v>
      </c>
      <c r="U220" s="197">
        <f t="shared" si="256"/>
        <v>20.8</v>
      </c>
      <c r="V220" s="194">
        <f t="shared" si="242"/>
        <v>202.8</v>
      </c>
      <c r="W220" s="194">
        <f t="shared" ca="1" si="240"/>
        <v>124.80000000000001</v>
      </c>
      <c r="Y220" s="197">
        <f t="shared" ca="1" si="243"/>
        <v>0</v>
      </c>
      <c r="Z220" s="197">
        <f t="shared" ca="1" si="244"/>
        <v>0</v>
      </c>
      <c r="AA220" s="197">
        <f t="shared" ca="1" si="245"/>
        <v>182</v>
      </c>
      <c r="AB220" s="197">
        <f t="shared" ca="1" si="246"/>
        <v>20.8</v>
      </c>
    </row>
    <row r="221" spans="1:28" ht="20.100000000000001" customHeight="1">
      <c r="B221" s="606"/>
      <c r="C221" s="607"/>
      <c r="D221" s="607"/>
      <c r="E221" s="607"/>
      <c r="F221" s="608"/>
      <c r="G221" s="602"/>
      <c r="H221" s="189"/>
      <c r="I221" s="204" t="s">
        <v>33</v>
      </c>
      <c r="J221" s="199">
        <f t="shared" ref="J221:U221" si="257">+J273+J316</f>
        <v>104</v>
      </c>
      <c r="K221" s="199">
        <f t="shared" si="257"/>
        <v>0</v>
      </c>
      <c r="L221" s="199">
        <f t="shared" si="257"/>
        <v>130</v>
      </c>
      <c r="M221" s="199">
        <f t="shared" si="257"/>
        <v>67.599999999999994</v>
      </c>
      <c r="N221" s="199">
        <f t="shared" si="257"/>
        <v>124.80000000000001</v>
      </c>
      <c r="O221" s="199">
        <f t="shared" si="257"/>
        <v>31.200000000000003</v>
      </c>
      <c r="P221" s="199">
        <f t="shared" si="257"/>
        <v>0</v>
      </c>
      <c r="Q221" s="199">
        <f t="shared" si="257"/>
        <v>36.400000000000006</v>
      </c>
      <c r="R221" s="199">
        <f t="shared" si="257"/>
        <v>0</v>
      </c>
      <c r="S221" s="199">
        <f t="shared" si="257"/>
        <v>114.4</v>
      </c>
      <c r="T221" s="199">
        <f t="shared" si="257"/>
        <v>171.60000000000002</v>
      </c>
      <c r="U221" s="199">
        <f t="shared" si="257"/>
        <v>164.3</v>
      </c>
      <c r="V221" s="195">
        <f t="shared" si="242"/>
        <v>944.3</v>
      </c>
      <c r="W221" s="195">
        <f t="shared" ca="1" si="240"/>
        <v>494</v>
      </c>
      <c r="Y221" s="199">
        <f t="shared" ca="1" si="243"/>
        <v>234</v>
      </c>
      <c r="Z221" s="199">
        <f t="shared" ca="1" si="244"/>
        <v>223.60000000000002</v>
      </c>
      <c r="AA221" s="199">
        <f t="shared" ca="1" si="245"/>
        <v>36.400000000000006</v>
      </c>
      <c r="AB221" s="199">
        <f t="shared" ca="1" si="246"/>
        <v>450.3</v>
      </c>
    </row>
    <row r="222" spans="1:28" ht="20.100000000000001" customHeight="1">
      <c r="B222" s="609"/>
      <c r="C222" s="610"/>
      <c r="D222" s="610"/>
      <c r="E222" s="610"/>
      <c r="F222" s="611"/>
      <c r="G222" s="602"/>
      <c r="H222" s="190"/>
      <c r="I222" s="205" t="s">
        <v>62</v>
      </c>
      <c r="J222" s="201">
        <f t="shared" ref="J222:U222" si="258">+J274+J317</f>
        <v>0</v>
      </c>
      <c r="K222" s="201">
        <f t="shared" si="258"/>
        <v>26</v>
      </c>
      <c r="L222" s="201">
        <f t="shared" si="258"/>
        <v>31.200000000000003</v>
      </c>
      <c r="M222" s="201">
        <f t="shared" si="258"/>
        <v>0</v>
      </c>
      <c r="N222" s="201">
        <f t="shared" si="258"/>
        <v>0</v>
      </c>
      <c r="O222" s="201">
        <f t="shared" si="258"/>
        <v>0</v>
      </c>
      <c r="P222" s="201">
        <f t="shared" si="258"/>
        <v>0</v>
      </c>
      <c r="Q222" s="201">
        <f t="shared" si="258"/>
        <v>0</v>
      </c>
      <c r="R222" s="201">
        <f t="shared" si="258"/>
        <v>0</v>
      </c>
      <c r="S222" s="201">
        <f t="shared" si="258"/>
        <v>0</v>
      </c>
      <c r="T222" s="201">
        <f t="shared" si="258"/>
        <v>0</v>
      </c>
      <c r="U222" s="201">
        <f t="shared" si="258"/>
        <v>0</v>
      </c>
      <c r="V222" s="196">
        <f t="shared" si="242"/>
        <v>57.2</v>
      </c>
      <c r="W222" s="196">
        <f t="shared" ca="1" si="240"/>
        <v>57.2</v>
      </c>
      <c r="Y222" s="201">
        <f t="shared" ca="1" si="243"/>
        <v>57.2</v>
      </c>
      <c r="Z222" s="201">
        <f t="shared" ca="1" si="244"/>
        <v>0</v>
      </c>
      <c r="AA222" s="201">
        <f t="shared" ca="1" si="245"/>
        <v>0</v>
      </c>
      <c r="AB222" s="201">
        <f t="shared" ca="1" si="246"/>
        <v>0</v>
      </c>
    </row>
    <row r="224" spans="1:28" ht="18" customHeight="1">
      <c r="B224" s="181"/>
      <c r="C224" s="182"/>
      <c r="D224" s="183"/>
      <c r="E224" s="183"/>
      <c r="F224" s="183"/>
      <c r="G224" s="184"/>
      <c r="H224" s="182"/>
      <c r="I224" s="217"/>
      <c r="J224" s="185"/>
      <c r="K224" s="185"/>
      <c r="L224" s="186"/>
      <c r="M224" s="185"/>
      <c r="N224" s="185"/>
      <c r="O224" s="185"/>
      <c r="P224" s="185"/>
      <c r="Q224" s="185"/>
      <c r="R224" s="185"/>
      <c r="S224" s="185"/>
      <c r="T224" s="185"/>
      <c r="U224" s="185"/>
      <c r="V224" s="187"/>
      <c r="W224" s="187"/>
      <c r="Y224" s="187"/>
      <c r="Z224" s="187"/>
      <c r="AA224" s="187"/>
      <c r="AB224" s="187"/>
    </row>
    <row r="225" spans="2:28" s="171" customFormat="1" ht="18" customHeight="1">
      <c r="B225" s="191" t="s">
        <v>206</v>
      </c>
      <c r="C225" s="112"/>
      <c r="D225" s="112"/>
      <c r="E225" s="112"/>
      <c r="F225" s="112"/>
      <c r="G225" s="112"/>
      <c r="H225" s="112"/>
      <c r="I225" s="211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3"/>
      <c r="W225" s="193"/>
      <c r="Y225" s="218"/>
      <c r="Z225" s="218"/>
      <c r="AA225" s="218"/>
      <c r="AB225" s="218"/>
    </row>
    <row r="226" spans="2:28" ht="18" customHeight="1">
      <c r="B226" s="582">
        <v>1</v>
      </c>
      <c r="C226" s="585" t="s">
        <v>30</v>
      </c>
      <c r="D226" s="585" t="s">
        <v>101</v>
      </c>
      <c r="E226" s="582" t="s">
        <v>33</v>
      </c>
      <c r="F226" s="582" t="s">
        <v>39</v>
      </c>
      <c r="G226" s="582">
        <f>10*5.2</f>
        <v>52</v>
      </c>
      <c r="H226" s="206" t="s">
        <v>33</v>
      </c>
      <c r="I226" s="206" t="s">
        <v>175</v>
      </c>
      <c r="J226" s="197">
        <f>'KH Wind Plan'!H4</f>
        <v>52</v>
      </c>
      <c r="K226" s="197">
        <f>'KH Wind Plan'!I4</f>
        <v>0</v>
      </c>
      <c r="L226" s="197">
        <f>'KH Wind Plan'!J4</f>
        <v>0</v>
      </c>
      <c r="M226" s="197">
        <f>'KH Wind Plan'!K4</f>
        <v>0</v>
      </c>
      <c r="N226" s="197">
        <f>'KH Wind Plan'!L4</f>
        <v>0</v>
      </c>
      <c r="O226" s="197">
        <f>'KH Wind Plan'!M4</f>
        <v>0</v>
      </c>
      <c r="P226" s="197">
        <f>'KH Wind Plan'!N4</f>
        <v>0</v>
      </c>
      <c r="Q226" s="197">
        <f>'KH Wind Plan'!O4</f>
        <v>0</v>
      </c>
      <c r="R226" s="197">
        <f>'KH Wind Plan'!P4</f>
        <v>0</v>
      </c>
      <c r="S226" s="197">
        <f>'KH Wind Plan'!Q4</f>
        <v>0</v>
      </c>
      <c r="T226" s="197">
        <f>'KH Wind Plan'!R4</f>
        <v>0</v>
      </c>
      <c r="U226" s="197">
        <f>'KH Wind Plan'!S4</f>
        <v>0</v>
      </c>
      <c r="V226" s="194">
        <f t="shared" ref="V226:V261" si="259">SUM(J226:U226)</f>
        <v>52</v>
      </c>
      <c r="W226" s="194">
        <f t="shared" ref="W226:W261" ca="1" si="260">SUM(OFFSET(J226,0,0,1,$A$1))</f>
        <v>52</v>
      </c>
      <c r="Y226" s="197">
        <f t="shared" ref="Y226:Y261" ca="1" si="261">SUM(OFFSET($J226,0,0,1,$A$2))</f>
        <v>52</v>
      </c>
      <c r="Z226" s="197">
        <f t="shared" ref="Z226:Z261" ca="1" si="262">SUM(OFFSET($M226,0,0,1,$A$2))</f>
        <v>0</v>
      </c>
      <c r="AA226" s="197">
        <f t="shared" ref="AA226:AA261" ca="1" si="263">SUM(OFFSET($P226,0,0,1,$A$2))</f>
        <v>0</v>
      </c>
      <c r="AB226" s="197">
        <f t="shared" ref="AB226:AB261" ca="1" si="264">SUM(OFFSET($S226,0,0,1,$A$2))</f>
        <v>0</v>
      </c>
    </row>
    <row r="227" spans="2:28" ht="18" customHeight="1">
      <c r="B227" s="583"/>
      <c r="C227" s="586"/>
      <c r="D227" s="588"/>
      <c r="E227" s="590"/>
      <c r="F227" s="590"/>
      <c r="G227" s="590"/>
      <c r="H227" s="207" t="s">
        <v>33</v>
      </c>
      <c r="I227" s="207" t="s">
        <v>176</v>
      </c>
      <c r="J227" s="199">
        <f>'KH Wind Rephase'!H4</f>
        <v>52</v>
      </c>
      <c r="K227" s="199">
        <f>'KH Wind Rephase'!I4</f>
        <v>0</v>
      </c>
      <c r="L227" s="199">
        <f>'KH Wind Rephase'!J4</f>
        <v>0</v>
      </c>
      <c r="M227" s="199">
        <f>'KH Wind Rephase'!K4</f>
        <v>0</v>
      </c>
      <c r="N227" s="199">
        <f>'KH Wind Rephase'!L4</f>
        <v>0</v>
      </c>
      <c r="O227" s="199">
        <f>'KH Wind Rephase'!M4</f>
        <v>0</v>
      </c>
      <c r="P227" s="199">
        <f>'KH Wind Rephase'!N4</f>
        <v>0</v>
      </c>
      <c r="Q227" s="199">
        <f>'KH Wind Rephase'!O4</f>
        <v>0</v>
      </c>
      <c r="R227" s="199">
        <f>'KH Wind Rephase'!P4</f>
        <v>0</v>
      </c>
      <c r="S227" s="199">
        <f>'KH Wind Rephase'!Q4</f>
        <v>0</v>
      </c>
      <c r="T227" s="199">
        <f>'KH Wind Rephase'!R4</f>
        <v>0</v>
      </c>
      <c r="U227" s="199">
        <f>'KH Wind Rephase'!S4</f>
        <v>0</v>
      </c>
      <c r="V227" s="195">
        <f t="shared" si="259"/>
        <v>52</v>
      </c>
      <c r="W227" s="195">
        <f t="shared" ca="1" si="260"/>
        <v>52</v>
      </c>
      <c r="Y227" s="199">
        <f t="shared" ca="1" si="261"/>
        <v>52</v>
      </c>
      <c r="Z227" s="199">
        <f t="shared" ca="1" si="262"/>
        <v>0</v>
      </c>
      <c r="AA227" s="199">
        <f t="shared" ca="1" si="263"/>
        <v>0</v>
      </c>
      <c r="AB227" s="199">
        <f t="shared" ca="1" si="264"/>
        <v>0</v>
      </c>
    </row>
    <row r="228" spans="2:28" ht="18" customHeight="1">
      <c r="B228" s="584"/>
      <c r="C228" s="587"/>
      <c r="D228" s="589"/>
      <c r="E228" s="591"/>
      <c r="F228" s="591"/>
      <c r="G228" s="591"/>
      <c r="H228" s="207" t="s">
        <v>33</v>
      </c>
      <c r="I228" s="207" t="s">
        <v>177</v>
      </c>
      <c r="J228" s="199">
        <f>'KH Wind Actual'!H5</f>
        <v>52</v>
      </c>
      <c r="K228" s="199">
        <f>'KH Wind Actual'!I5</f>
        <v>0</v>
      </c>
      <c r="L228" s="237">
        <f>'KH Wind Actual'!J5</f>
        <v>0</v>
      </c>
      <c r="M228" s="199">
        <f>'KH Wind Actual'!K5</f>
        <v>0</v>
      </c>
      <c r="N228" s="199">
        <f>'KH Wind Actual'!L5</f>
        <v>0</v>
      </c>
      <c r="O228" s="199">
        <f>'KH Wind Actual'!M5</f>
        <v>0</v>
      </c>
      <c r="P228" s="199">
        <f>'KH Wind Actual'!N5</f>
        <v>0</v>
      </c>
      <c r="Q228" s="199">
        <f>'KH Wind Actual'!O5</f>
        <v>0</v>
      </c>
      <c r="R228" s="199">
        <f>'KH Wind Actual'!P5</f>
        <v>0</v>
      </c>
      <c r="S228" s="199">
        <f>'KH Wind Actual'!Q5</f>
        <v>0</v>
      </c>
      <c r="T228" s="199">
        <f>'KH Wind Actual'!R5</f>
        <v>0</v>
      </c>
      <c r="U228" s="199">
        <f>'KH Wind Actual'!S5</f>
        <v>0</v>
      </c>
      <c r="V228" s="195">
        <f t="shared" si="259"/>
        <v>52</v>
      </c>
      <c r="W228" s="195">
        <f t="shared" ca="1" si="260"/>
        <v>52</v>
      </c>
      <c r="Y228" s="199">
        <f t="shared" ca="1" si="261"/>
        <v>52</v>
      </c>
      <c r="Z228" s="199">
        <f t="shared" ca="1" si="262"/>
        <v>0</v>
      </c>
      <c r="AA228" s="199">
        <f t="shared" ca="1" si="263"/>
        <v>0</v>
      </c>
      <c r="AB228" s="199">
        <f t="shared" ca="1" si="264"/>
        <v>0</v>
      </c>
    </row>
    <row r="229" spans="2:28" ht="18" customHeight="1">
      <c r="B229" s="582">
        <v>2</v>
      </c>
      <c r="C229" s="585" t="s">
        <v>207</v>
      </c>
      <c r="D229" s="585" t="s">
        <v>106</v>
      </c>
      <c r="E229" s="582" t="s">
        <v>62</v>
      </c>
      <c r="F229" s="582" t="s">
        <v>39</v>
      </c>
      <c r="G229" s="582">
        <f>11*5.2</f>
        <v>57.2</v>
      </c>
      <c r="H229" s="206" t="s">
        <v>62</v>
      </c>
      <c r="I229" s="206" t="s">
        <v>175</v>
      </c>
      <c r="J229" s="197">
        <f>'KH Wind Plan'!H5</f>
        <v>26</v>
      </c>
      <c r="K229" s="197">
        <f>'KH Wind Plan'!I5</f>
        <v>31.200000000000003</v>
      </c>
      <c r="L229" s="197">
        <f>'KH Wind Plan'!J5</f>
        <v>0</v>
      </c>
      <c r="M229" s="197">
        <f>'KH Wind Plan'!K5</f>
        <v>0</v>
      </c>
      <c r="N229" s="197">
        <f>'KH Wind Plan'!L5</f>
        <v>0</v>
      </c>
      <c r="O229" s="197">
        <f>'KH Wind Plan'!M5</f>
        <v>0</v>
      </c>
      <c r="P229" s="197">
        <f>'KH Wind Plan'!N5</f>
        <v>0</v>
      </c>
      <c r="Q229" s="197">
        <f>'KH Wind Plan'!O5</f>
        <v>0</v>
      </c>
      <c r="R229" s="197">
        <f>'KH Wind Plan'!P5</f>
        <v>0</v>
      </c>
      <c r="S229" s="197">
        <f>'KH Wind Plan'!Q5</f>
        <v>0</v>
      </c>
      <c r="T229" s="197">
        <f>'KH Wind Plan'!R5</f>
        <v>0</v>
      </c>
      <c r="U229" s="197">
        <f>'KH Wind Plan'!S5</f>
        <v>0</v>
      </c>
      <c r="V229" s="194">
        <f t="shared" si="259"/>
        <v>57.2</v>
      </c>
      <c r="W229" s="194">
        <f t="shared" ca="1" si="260"/>
        <v>57.2</v>
      </c>
      <c r="Y229" s="197">
        <f t="shared" ca="1" si="261"/>
        <v>57.2</v>
      </c>
      <c r="Z229" s="197">
        <f t="shared" ca="1" si="262"/>
        <v>0</v>
      </c>
      <c r="AA229" s="197">
        <f t="shared" ca="1" si="263"/>
        <v>0</v>
      </c>
      <c r="AB229" s="197">
        <f t="shared" ca="1" si="264"/>
        <v>0</v>
      </c>
    </row>
    <row r="230" spans="2:28" ht="18" customHeight="1">
      <c r="B230" s="583"/>
      <c r="C230" s="586"/>
      <c r="D230" s="588"/>
      <c r="E230" s="590"/>
      <c r="F230" s="590"/>
      <c r="G230" s="590"/>
      <c r="H230" s="207" t="s">
        <v>62</v>
      </c>
      <c r="I230" s="207" t="s">
        <v>176</v>
      </c>
      <c r="J230" s="199">
        <f>'KH Wind Rephase'!H5</f>
        <v>0</v>
      </c>
      <c r="K230" s="199">
        <f>'KH Wind Rephase'!I5</f>
        <v>26</v>
      </c>
      <c r="L230" s="199">
        <f>'KH Wind Rephase'!J5</f>
        <v>31.200000000000003</v>
      </c>
      <c r="M230" s="199">
        <f>'KH Wind Rephase'!K5</f>
        <v>0</v>
      </c>
      <c r="N230" s="199">
        <f>'KH Wind Rephase'!L5</f>
        <v>0</v>
      </c>
      <c r="O230" s="199">
        <f>'KH Wind Rephase'!M5</f>
        <v>0</v>
      </c>
      <c r="P230" s="199">
        <f>'KH Wind Rephase'!N5</f>
        <v>0</v>
      </c>
      <c r="Q230" s="199">
        <f>'KH Wind Rephase'!O5</f>
        <v>0</v>
      </c>
      <c r="R230" s="199">
        <f>'KH Wind Rephase'!P5</f>
        <v>0</v>
      </c>
      <c r="S230" s="199">
        <f>'KH Wind Rephase'!Q5</f>
        <v>0</v>
      </c>
      <c r="T230" s="199">
        <f>'KH Wind Rephase'!R5</f>
        <v>0</v>
      </c>
      <c r="U230" s="199">
        <f>'KH Wind Rephase'!S5</f>
        <v>0</v>
      </c>
      <c r="V230" s="195">
        <f t="shared" si="259"/>
        <v>57.2</v>
      </c>
      <c r="W230" s="195">
        <f t="shared" ca="1" si="260"/>
        <v>57.2</v>
      </c>
      <c r="Y230" s="199">
        <f t="shared" ca="1" si="261"/>
        <v>57.2</v>
      </c>
      <c r="Z230" s="199">
        <f t="shared" ca="1" si="262"/>
        <v>0</v>
      </c>
      <c r="AA230" s="199">
        <f t="shared" ca="1" si="263"/>
        <v>0</v>
      </c>
      <c r="AB230" s="199">
        <f t="shared" ca="1" si="264"/>
        <v>0</v>
      </c>
    </row>
    <row r="231" spans="2:28" ht="18" customHeight="1">
      <c r="B231" s="584"/>
      <c r="C231" s="587"/>
      <c r="D231" s="589"/>
      <c r="E231" s="591"/>
      <c r="F231" s="591"/>
      <c r="G231" s="591"/>
      <c r="H231" s="207" t="s">
        <v>62</v>
      </c>
      <c r="I231" s="207" t="s">
        <v>177</v>
      </c>
      <c r="J231" s="199">
        <f>'KH Wind Actual'!H6</f>
        <v>0</v>
      </c>
      <c r="K231" s="199">
        <f>'KH Wind Actual'!I6</f>
        <v>26</v>
      </c>
      <c r="L231" s="199">
        <f>'KH Wind Actual'!J6</f>
        <v>31.200000000000003</v>
      </c>
      <c r="M231" s="199">
        <f>'KH Wind Actual'!K6</f>
        <v>0</v>
      </c>
      <c r="N231" s="199">
        <f>'KH Wind Actual'!L6</f>
        <v>0</v>
      </c>
      <c r="O231" s="199">
        <f>'KH Wind Actual'!M6</f>
        <v>0</v>
      </c>
      <c r="P231" s="199">
        <f>'KH Wind Actual'!N6</f>
        <v>0</v>
      </c>
      <c r="Q231" s="199">
        <f>'KH Wind Actual'!O6</f>
        <v>0</v>
      </c>
      <c r="R231" s="199">
        <f>'KH Wind Actual'!P6</f>
        <v>0</v>
      </c>
      <c r="S231" s="199">
        <f>'KH Wind Actual'!Q6</f>
        <v>0</v>
      </c>
      <c r="T231" s="199">
        <f>'KH Wind Actual'!R6</f>
        <v>0</v>
      </c>
      <c r="U231" s="199">
        <f>'KH Wind Actual'!S6</f>
        <v>0</v>
      </c>
      <c r="V231" s="195">
        <f t="shared" si="259"/>
        <v>57.2</v>
      </c>
      <c r="W231" s="195">
        <f t="shared" ca="1" si="260"/>
        <v>57.2</v>
      </c>
      <c r="Y231" s="199">
        <f t="shared" ca="1" si="261"/>
        <v>57.2</v>
      </c>
      <c r="Z231" s="199">
        <f t="shared" ca="1" si="262"/>
        <v>0</v>
      </c>
      <c r="AA231" s="199">
        <f t="shared" ca="1" si="263"/>
        <v>0</v>
      </c>
      <c r="AB231" s="199">
        <f t="shared" ca="1" si="264"/>
        <v>0</v>
      </c>
    </row>
    <row r="232" spans="2:28" ht="18" customHeight="1">
      <c r="B232" s="582">
        <v>3</v>
      </c>
      <c r="C232" s="585" t="s">
        <v>30</v>
      </c>
      <c r="D232" s="585" t="s">
        <v>50</v>
      </c>
      <c r="E232" s="582" t="s">
        <v>33</v>
      </c>
      <c r="F232" s="582" t="s">
        <v>39</v>
      </c>
      <c r="G232" s="582">
        <f>12*5.2</f>
        <v>62.400000000000006</v>
      </c>
      <c r="H232" s="206" t="s">
        <v>33</v>
      </c>
      <c r="I232" s="206" t="s">
        <v>175</v>
      </c>
      <c r="J232" s="197">
        <f>'KH Wind Plan'!H6</f>
        <v>52</v>
      </c>
      <c r="K232" s="197">
        <f>'KH Wind Plan'!I6</f>
        <v>10.4</v>
      </c>
      <c r="L232" s="197">
        <f>'KH Wind Plan'!J6</f>
        <v>0</v>
      </c>
      <c r="M232" s="197">
        <f>'KH Wind Plan'!K6</f>
        <v>0</v>
      </c>
      <c r="N232" s="197">
        <f>'KH Wind Plan'!L6</f>
        <v>0</v>
      </c>
      <c r="O232" s="197">
        <f>'KH Wind Plan'!M6</f>
        <v>0</v>
      </c>
      <c r="P232" s="197">
        <f>'KH Wind Plan'!N6</f>
        <v>0</v>
      </c>
      <c r="Q232" s="197">
        <f>'KH Wind Plan'!O6</f>
        <v>0</v>
      </c>
      <c r="R232" s="197">
        <f>'KH Wind Plan'!P6</f>
        <v>0</v>
      </c>
      <c r="S232" s="197">
        <f>'KH Wind Plan'!Q6</f>
        <v>0</v>
      </c>
      <c r="T232" s="197">
        <f>'KH Wind Plan'!R6</f>
        <v>0</v>
      </c>
      <c r="U232" s="197">
        <f>'KH Wind Plan'!S6</f>
        <v>0</v>
      </c>
      <c r="V232" s="194">
        <f t="shared" si="259"/>
        <v>62.4</v>
      </c>
      <c r="W232" s="194">
        <f t="shared" ca="1" si="260"/>
        <v>62.4</v>
      </c>
      <c r="Y232" s="197">
        <f t="shared" ca="1" si="261"/>
        <v>62.4</v>
      </c>
      <c r="Z232" s="197">
        <f t="shared" ca="1" si="262"/>
        <v>0</v>
      </c>
      <c r="AA232" s="197">
        <f t="shared" ca="1" si="263"/>
        <v>0</v>
      </c>
      <c r="AB232" s="197">
        <f t="shared" ca="1" si="264"/>
        <v>0</v>
      </c>
    </row>
    <row r="233" spans="2:28" ht="18" customHeight="1">
      <c r="B233" s="583"/>
      <c r="C233" s="586"/>
      <c r="D233" s="588"/>
      <c r="E233" s="590"/>
      <c r="F233" s="590"/>
      <c r="G233" s="590"/>
      <c r="H233" s="207" t="s">
        <v>33</v>
      </c>
      <c r="I233" s="207" t="s">
        <v>176</v>
      </c>
      <c r="J233" s="199">
        <f>'KH Wind Rephase'!H6</f>
        <v>52</v>
      </c>
      <c r="K233" s="199">
        <f>'KH Wind Rephase'!I6</f>
        <v>0</v>
      </c>
      <c r="L233" s="199">
        <f>'KH Wind Rephase'!J6</f>
        <v>10.4</v>
      </c>
      <c r="M233" s="199">
        <f>'KH Wind Rephase'!K6</f>
        <v>0</v>
      </c>
      <c r="N233" s="199">
        <f>'KH Wind Rephase'!L6</f>
        <v>0</v>
      </c>
      <c r="O233" s="199">
        <f>'KH Wind Rephase'!M6</f>
        <v>0</v>
      </c>
      <c r="P233" s="199">
        <f>'KH Wind Rephase'!N6</f>
        <v>0</v>
      </c>
      <c r="Q233" s="199">
        <f>'KH Wind Rephase'!O6</f>
        <v>0</v>
      </c>
      <c r="R233" s="199">
        <f>'KH Wind Rephase'!P6</f>
        <v>0</v>
      </c>
      <c r="S233" s="199">
        <f>'KH Wind Rephase'!Q6</f>
        <v>0</v>
      </c>
      <c r="T233" s="199">
        <f>'KH Wind Rephase'!R6</f>
        <v>0</v>
      </c>
      <c r="U233" s="199">
        <f>'KH Wind Rephase'!S6</f>
        <v>0</v>
      </c>
      <c r="V233" s="195">
        <f t="shared" si="259"/>
        <v>62.4</v>
      </c>
      <c r="W233" s="195">
        <f t="shared" ca="1" si="260"/>
        <v>62.4</v>
      </c>
      <c r="Y233" s="199">
        <f t="shared" ca="1" si="261"/>
        <v>62.4</v>
      </c>
      <c r="Z233" s="199">
        <f t="shared" ca="1" si="262"/>
        <v>0</v>
      </c>
      <c r="AA233" s="199">
        <f t="shared" ca="1" si="263"/>
        <v>0</v>
      </c>
      <c r="AB233" s="199">
        <f t="shared" ca="1" si="264"/>
        <v>0</v>
      </c>
    </row>
    <row r="234" spans="2:28" ht="18" customHeight="1">
      <c r="B234" s="584"/>
      <c r="C234" s="587"/>
      <c r="D234" s="589"/>
      <c r="E234" s="591"/>
      <c r="F234" s="591"/>
      <c r="G234" s="591"/>
      <c r="H234" s="207" t="s">
        <v>33</v>
      </c>
      <c r="I234" s="207" t="s">
        <v>177</v>
      </c>
      <c r="J234" s="199">
        <f>'KH Wind Actual'!H7</f>
        <v>52</v>
      </c>
      <c r="K234" s="199">
        <f>'KH Wind Actual'!I7</f>
        <v>0</v>
      </c>
      <c r="L234" s="199">
        <f>'KH Wind Actual'!J7</f>
        <v>10.4</v>
      </c>
      <c r="M234" s="199">
        <f>'KH Wind Actual'!K7</f>
        <v>0</v>
      </c>
      <c r="N234" s="199">
        <f>'KH Wind Actual'!L7</f>
        <v>0</v>
      </c>
      <c r="O234" s="199">
        <f>'KH Wind Actual'!M7</f>
        <v>0</v>
      </c>
      <c r="P234" s="199">
        <f>'KH Wind Actual'!N7</f>
        <v>0</v>
      </c>
      <c r="Q234" s="199">
        <f>'KH Wind Actual'!O7</f>
        <v>0</v>
      </c>
      <c r="R234" s="199">
        <f>'KH Wind Actual'!P7</f>
        <v>0</v>
      </c>
      <c r="S234" s="199">
        <f>'KH Wind Actual'!Q7</f>
        <v>0</v>
      </c>
      <c r="T234" s="199">
        <f>'KH Wind Actual'!R7</f>
        <v>0</v>
      </c>
      <c r="U234" s="199">
        <f>'KH Wind Actual'!S7</f>
        <v>0</v>
      </c>
      <c r="V234" s="195">
        <f t="shared" si="259"/>
        <v>62.4</v>
      </c>
      <c r="W234" s="195">
        <f t="shared" ca="1" si="260"/>
        <v>62.4</v>
      </c>
      <c r="Y234" s="199">
        <f t="shared" ca="1" si="261"/>
        <v>62.4</v>
      </c>
      <c r="Z234" s="199">
        <f t="shared" ca="1" si="262"/>
        <v>0</v>
      </c>
      <c r="AA234" s="199">
        <f t="shared" ca="1" si="263"/>
        <v>0</v>
      </c>
      <c r="AB234" s="199">
        <f t="shared" ca="1" si="264"/>
        <v>0</v>
      </c>
    </row>
    <row r="235" spans="2:28" ht="18" customHeight="1">
      <c r="B235" s="582">
        <v>4</v>
      </c>
      <c r="C235" s="585" t="s">
        <v>84</v>
      </c>
      <c r="D235" s="585" t="s">
        <v>95</v>
      </c>
      <c r="E235" s="582" t="s">
        <v>33</v>
      </c>
      <c r="F235" s="582" t="s">
        <v>59</v>
      </c>
      <c r="G235" s="582">
        <f>30*5.2</f>
        <v>156</v>
      </c>
      <c r="H235" s="206" t="s">
        <v>33</v>
      </c>
      <c r="I235" s="206" t="s">
        <v>175</v>
      </c>
      <c r="J235" s="197">
        <f>'KH Wind Plan'!H7</f>
        <v>52</v>
      </c>
      <c r="K235" s="197">
        <f>'KH Wind Plan'!I7</f>
        <v>104</v>
      </c>
      <c r="L235" s="197">
        <f>'KH Wind Plan'!J7</f>
        <v>0</v>
      </c>
      <c r="M235" s="197">
        <f>'KH Wind Plan'!K7</f>
        <v>0</v>
      </c>
      <c r="N235" s="197">
        <f>'KH Wind Plan'!L7</f>
        <v>0</v>
      </c>
      <c r="O235" s="197">
        <f>'KH Wind Plan'!M7</f>
        <v>0</v>
      </c>
      <c r="P235" s="197">
        <f>'KH Wind Plan'!N7</f>
        <v>0</v>
      </c>
      <c r="Q235" s="197">
        <f>'KH Wind Plan'!O7</f>
        <v>0</v>
      </c>
      <c r="R235" s="197">
        <f>'KH Wind Plan'!P7</f>
        <v>0</v>
      </c>
      <c r="S235" s="197">
        <f>'KH Wind Plan'!Q7</f>
        <v>0</v>
      </c>
      <c r="T235" s="197">
        <f>'KH Wind Plan'!R7</f>
        <v>0</v>
      </c>
      <c r="U235" s="197">
        <f>'KH Wind Plan'!S7</f>
        <v>0</v>
      </c>
      <c r="V235" s="194">
        <f t="shared" si="259"/>
        <v>156</v>
      </c>
      <c r="W235" s="194">
        <f t="shared" ca="1" si="260"/>
        <v>156</v>
      </c>
      <c r="Y235" s="197">
        <f t="shared" ca="1" si="261"/>
        <v>156</v>
      </c>
      <c r="Z235" s="197">
        <f t="shared" ca="1" si="262"/>
        <v>0</v>
      </c>
      <c r="AA235" s="197">
        <f t="shared" ca="1" si="263"/>
        <v>0</v>
      </c>
      <c r="AB235" s="197">
        <f t="shared" ca="1" si="264"/>
        <v>0</v>
      </c>
    </row>
    <row r="236" spans="2:28" ht="18" customHeight="1">
      <c r="B236" s="583"/>
      <c r="C236" s="586"/>
      <c r="D236" s="588"/>
      <c r="E236" s="590"/>
      <c r="F236" s="590"/>
      <c r="G236" s="590"/>
      <c r="H236" s="207" t="s">
        <v>33</v>
      </c>
      <c r="I236" s="207" t="s">
        <v>176</v>
      </c>
      <c r="J236" s="199">
        <f>'KH Wind Rephase'!H7</f>
        <v>0</v>
      </c>
      <c r="K236" s="199">
        <f>'KH Wind Rephase'!I7</f>
        <v>0</v>
      </c>
      <c r="L236" s="199">
        <f>'KH Wind Rephase'!J7</f>
        <v>119.60000000000001</v>
      </c>
      <c r="M236" s="199">
        <f>'KH Wind Rephase'!K7</f>
        <v>26</v>
      </c>
      <c r="N236" s="199">
        <f>'KH Wind Rephase'!L7</f>
        <v>10.4</v>
      </c>
      <c r="O236" s="199">
        <f>'KH Wind Rephase'!M7</f>
        <v>0</v>
      </c>
      <c r="P236" s="199">
        <f>'KH Wind Rephase'!N7</f>
        <v>0</v>
      </c>
      <c r="Q236" s="199">
        <f>'KH Wind Rephase'!O7</f>
        <v>0</v>
      </c>
      <c r="R236" s="199">
        <f>'KH Wind Rephase'!P7</f>
        <v>0</v>
      </c>
      <c r="S236" s="199">
        <f>'KH Wind Rephase'!Q7</f>
        <v>0</v>
      </c>
      <c r="T236" s="199">
        <f>'KH Wind Rephase'!R7</f>
        <v>0</v>
      </c>
      <c r="U236" s="199">
        <f>'KH Wind Rephase'!S7</f>
        <v>0</v>
      </c>
      <c r="V236" s="195">
        <f t="shared" si="259"/>
        <v>156.00000000000003</v>
      </c>
      <c r="W236" s="195">
        <f t="shared" ca="1" si="260"/>
        <v>156.00000000000003</v>
      </c>
      <c r="Y236" s="199">
        <f t="shared" ca="1" si="261"/>
        <v>119.60000000000001</v>
      </c>
      <c r="Z236" s="199">
        <f t="shared" ca="1" si="262"/>
        <v>36.4</v>
      </c>
      <c r="AA236" s="199">
        <f t="shared" ca="1" si="263"/>
        <v>0</v>
      </c>
      <c r="AB236" s="199">
        <f t="shared" ca="1" si="264"/>
        <v>0</v>
      </c>
    </row>
    <row r="237" spans="2:28" ht="18" customHeight="1">
      <c r="B237" s="584"/>
      <c r="C237" s="587"/>
      <c r="D237" s="589"/>
      <c r="E237" s="591"/>
      <c r="F237" s="591"/>
      <c r="G237" s="591"/>
      <c r="H237" s="207" t="s">
        <v>33</v>
      </c>
      <c r="I237" s="207" t="s">
        <v>177</v>
      </c>
      <c r="J237" s="199">
        <f>'KH Wind Actual'!H8</f>
        <v>0</v>
      </c>
      <c r="K237" s="199">
        <f>'KH Wind Actual'!I8</f>
        <v>0</v>
      </c>
      <c r="L237" s="199">
        <f>'KH Wind Actual'!J8</f>
        <v>119.60000000000001</v>
      </c>
      <c r="M237" s="199">
        <f>'KH Wind Actual'!K8</f>
        <v>26</v>
      </c>
      <c r="N237" s="199">
        <f>'KH Wind Actual'!L8</f>
        <v>0</v>
      </c>
      <c r="O237" s="199">
        <f>'KH Wind Actual'!M8</f>
        <v>0</v>
      </c>
      <c r="P237" s="199">
        <f>'KH Wind Actual'!N8</f>
        <v>0</v>
      </c>
      <c r="Q237" s="199">
        <f>'KH Wind Actual'!O8</f>
        <v>0</v>
      </c>
      <c r="R237" s="199">
        <f>'KH Wind Actual'!P8</f>
        <v>0</v>
      </c>
      <c r="S237" s="199">
        <f>'KH Wind Actual'!Q8</f>
        <v>0</v>
      </c>
      <c r="T237" s="199">
        <f>'KH Wind Actual'!R8</f>
        <v>10.4</v>
      </c>
      <c r="U237" s="199">
        <f>'KH Wind Actual'!S8</f>
        <v>0</v>
      </c>
      <c r="V237" s="195">
        <f t="shared" si="259"/>
        <v>156.00000000000003</v>
      </c>
      <c r="W237" s="195">
        <f t="shared" ca="1" si="260"/>
        <v>145.60000000000002</v>
      </c>
      <c r="Y237" s="199">
        <f t="shared" ca="1" si="261"/>
        <v>119.60000000000001</v>
      </c>
      <c r="Z237" s="199">
        <f t="shared" ca="1" si="262"/>
        <v>26</v>
      </c>
      <c r="AA237" s="199">
        <f t="shared" ca="1" si="263"/>
        <v>0</v>
      </c>
      <c r="AB237" s="199">
        <f t="shared" ca="1" si="264"/>
        <v>10.4</v>
      </c>
    </row>
    <row r="238" spans="2:28" ht="18" customHeight="1">
      <c r="B238" s="582">
        <v>5</v>
      </c>
      <c r="C238" s="585" t="s">
        <v>30</v>
      </c>
      <c r="D238" s="585" t="s">
        <v>50</v>
      </c>
      <c r="E238" s="582" t="s">
        <v>33</v>
      </c>
      <c r="F238" s="582" t="s">
        <v>75</v>
      </c>
      <c r="G238" s="582">
        <f>13*5.2</f>
        <v>67.600000000000009</v>
      </c>
      <c r="H238" s="206" t="s">
        <v>33</v>
      </c>
      <c r="I238" s="206" t="s">
        <v>175</v>
      </c>
      <c r="J238" s="197">
        <f>'KH Wind Plan'!H8</f>
        <v>0</v>
      </c>
      <c r="K238" s="197">
        <f>'KH Wind Plan'!I8</f>
        <v>0</v>
      </c>
      <c r="L238" s="197">
        <f>'KH Wind Plan'!J8</f>
        <v>67.600000000000009</v>
      </c>
      <c r="M238" s="197">
        <f>'KH Wind Plan'!K8</f>
        <v>0</v>
      </c>
      <c r="N238" s="197">
        <f>'KH Wind Plan'!L8</f>
        <v>0</v>
      </c>
      <c r="O238" s="197">
        <f>'KH Wind Plan'!M8</f>
        <v>0</v>
      </c>
      <c r="P238" s="197">
        <f>'KH Wind Plan'!N8</f>
        <v>0</v>
      </c>
      <c r="Q238" s="197">
        <f>'KH Wind Plan'!O8</f>
        <v>0</v>
      </c>
      <c r="R238" s="197">
        <f>'KH Wind Plan'!P8</f>
        <v>0</v>
      </c>
      <c r="S238" s="197">
        <f>'KH Wind Plan'!Q8</f>
        <v>0</v>
      </c>
      <c r="T238" s="197">
        <f>'KH Wind Plan'!R8</f>
        <v>0</v>
      </c>
      <c r="U238" s="197">
        <f>'KH Wind Plan'!S8</f>
        <v>0</v>
      </c>
      <c r="V238" s="194">
        <f t="shared" si="259"/>
        <v>67.600000000000009</v>
      </c>
      <c r="W238" s="194">
        <f t="shared" ca="1" si="260"/>
        <v>67.600000000000009</v>
      </c>
      <c r="Y238" s="197">
        <f t="shared" ca="1" si="261"/>
        <v>67.600000000000009</v>
      </c>
      <c r="Z238" s="197">
        <f t="shared" ca="1" si="262"/>
        <v>0</v>
      </c>
      <c r="AA238" s="197">
        <f t="shared" ca="1" si="263"/>
        <v>0</v>
      </c>
      <c r="AB238" s="197">
        <f t="shared" ca="1" si="264"/>
        <v>0</v>
      </c>
    </row>
    <row r="239" spans="2:28" ht="18" customHeight="1">
      <c r="B239" s="583"/>
      <c r="C239" s="586"/>
      <c r="D239" s="588"/>
      <c r="E239" s="590"/>
      <c r="F239" s="590"/>
      <c r="G239" s="590"/>
      <c r="H239" s="207" t="s">
        <v>33</v>
      </c>
      <c r="I239" s="207" t="s">
        <v>176</v>
      </c>
      <c r="J239" s="199">
        <f>'KH Wind Rephase'!H8</f>
        <v>0</v>
      </c>
      <c r="K239" s="199">
        <f>'KH Wind Rephase'!I8</f>
        <v>0</v>
      </c>
      <c r="L239" s="199">
        <f>'KH Wind Rephase'!J8</f>
        <v>0</v>
      </c>
      <c r="M239" s="199">
        <f>'KH Wind Rephase'!K8</f>
        <v>0</v>
      </c>
      <c r="N239" s="199">
        <f>'KH Wind Rephase'!L8</f>
        <v>0</v>
      </c>
      <c r="O239" s="199">
        <f>'KH Wind Rephase'!M8</f>
        <v>52</v>
      </c>
      <c r="P239" s="199">
        <f>'KH Wind Rephase'!N8</f>
        <v>15.600000000000001</v>
      </c>
      <c r="Q239" s="199">
        <f>'KH Wind Rephase'!O8</f>
        <v>0</v>
      </c>
      <c r="R239" s="199">
        <f>'KH Wind Rephase'!P8</f>
        <v>0</v>
      </c>
      <c r="S239" s="199">
        <f>'KH Wind Rephase'!Q8</f>
        <v>0</v>
      </c>
      <c r="T239" s="199">
        <f>'KH Wind Rephase'!R8</f>
        <v>0</v>
      </c>
      <c r="U239" s="199">
        <f>'KH Wind Rephase'!S8</f>
        <v>0</v>
      </c>
      <c r="V239" s="195">
        <f t="shared" si="259"/>
        <v>67.599999999999994</v>
      </c>
      <c r="W239" s="195">
        <f t="shared" ca="1" si="260"/>
        <v>67.599999999999994</v>
      </c>
      <c r="Y239" s="199">
        <f t="shared" ca="1" si="261"/>
        <v>0</v>
      </c>
      <c r="Z239" s="199">
        <f t="shared" ca="1" si="262"/>
        <v>52</v>
      </c>
      <c r="AA239" s="199">
        <f t="shared" ca="1" si="263"/>
        <v>15.600000000000001</v>
      </c>
      <c r="AB239" s="199">
        <f t="shared" ca="1" si="264"/>
        <v>0</v>
      </c>
    </row>
    <row r="240" spans="2:28" ht="18" customHeight="1">
      <c r="B240" s="584"/>
      <c r="C240" s="587"/>
      <c r="D240" s="589"/>
      <c r="E240" s="591"/>
      <c r="F240" s="591"/>
      <c r="G240" s="591"/>
      <c r="H240" s="207" t="s">
        <v>33</v>
      </c>
      <c r="I240" s="207" t="s">
        <v>177</v>
      </c>
      <c r="J240" s="199">
        <f>'KH Wind Actual'!H9</f>
        <v>0</v>
      </c>
      <c r="K240" s="199">
        <f>'KH Wind Actual'!I9</f>
        <v>0</v>
      </c>
      <c r="L240" s="199">
        <f>'KH Wind Actual'!J9</f>
        <v>0</v>
      </c>
      <c r="M240" s="199">
        <f>'KH Wind Actual'!K9</f>
        <v>0</v>
      </c>
      <c r="N240" s="199">
        <f>'KH Wind Actual'!L9</f>
        <v>0</v>
      </c>
      <c r="O240" s="199">
        <f>'KH Wind Actual'!M9</f>
        <v>31.200000000000003</v>
      </c>
      <c r="P240" s="199">
        <f>'KH Wind Actual'!N9</f>
        <v>0</v>
      </c>
      <c r="Q240" s="199">
        <f>'KH Wind Actual'!O9</f>
        <v>31.200000000000003</v>
      </c>
      <c r="R240" s="199">
        <f>'KH Wind Actual'!P9</f>
        <v>0</v>
      </c>
      <c r="S240" s="199">
        <f>'KH Wind Actual'!Q9</f>
        <v>5.2</v>
      </c>
      <c r="T240" s="199">
        <f>'KH Wind Actual'!R9</f>
        <v>0</v>
      </c>
      <c r="U240" s="199">
        <f>'KH Wind Actual'!S9</f>
        <v>0</v>
      </c>
      <c r="V240" s="195">
        <f t="shared" si="259"/>
        <v>67.600000000000009</v>
      </c>
      <c r="W240" s="195">
        <f t="shared" ca="1" si="260"/>
        <v>62.400000000000006</v>
      </c>
      <c r="Y240" s="199">
        <f t="shared" ca="1" si="261"/>
        <v>0</v>
      </c>
      <c r="Z240" s="199">
        <f t="shared" ca="1" si="262"/>
        <v>31.200000000000003</v>
      </c>
      <c r="AA240" s="199">
        <f t="shared" ca="1" si="263"/>
        <v>31.200000000000003</v>
      </c>
      <c r="AB240" s="199">
        <f t="shared" ca="1" si="264"/>
        <v>5.2</v>
      </c>
    </row>
    <row r="241" spans="2:28" ht="18" customHeight="1">
      <c r="B241" s="582">
        <v>6</v>
      </c>
      <c r="C241" s="585" t="s">
        <v>30</v>
      </c>
      <c r="D241" s="585" t="s">
        <v>208</v>
      </c>
      <c r="E241" s="582" t="s">
        <v>33</v>
      </c>
      <c r="F241" s="582" t="s">
        <v>75</v>
      </c>
      <c r="G241" s="582">
        <f>25*5.2</f>
        <v>130</v>
      </c>
      <c r="H241" s="206" t="s">
        <v>33</v>
      </c>
      <c r="I241" s="206" t="s">
        <v>175</v>
      </c>
      <c r="J241" s="197">
        <f>'KH Wind Plan'!H9</f>
        <v>0</v>
      </c>
      <c r="K241" s="197">
        <f>'KH Wind Plan'!I9</f>
        <v>36.4</v>
      </c>
      <c r="L241" s="197">
        <f>'KH Wind Plan'!J9</f>
        <v>93.600000000000009</v>
      </c>
      <c r="M241" s="197">
        <f>'KH Wind Plan'!K9</f>
        <v>0</v>
      </c>
      <c r="N241" s="197">
        <f>'KH Wind Plan'!L9</f>
        <v>0</v>
      </c>
      <c r="O241" s="197">
        <f>'KH Wind Plan'!M9</f>
        <v>0</v>
      </c>
      <c r="P241" s="197">
        <f>'KH Wind Plan'!N9</f>
        <v>0</v>
      </c>
      <c r="Q241" s="197">
        <f>'KH Wind Plan'!O9</f>
        <v>0</v>
      </c>
      <c r="R241" s="197">
        <f>'KH Wind Plan'!P9</f>
        <v>0</v>
      </c>
      <c r="S241" s="197">
        <f>'KH Wind Plan'!Q9</f>
        <v>0</v>
      </c>
      <c r="T241" s="197">
        <f>'KH Wind Plan'!R9</f>
        <v>0</v>
      </c>
      <c r="U241" s="197">
        <f>'KH Wind Plan'!S9</f>
        <v>0</v>
      </c>
      <c r="V241" s="194">
        <f t="shared" si="259"/>
        <v>130</v>
      </c>
      <c r="W241" s="194">
        <f t="shared" ca="1" si="260"/>
        <v>130</v>
      </c>
      <c r="Y241" s="197">
        <f t="shared" ca="1" si="261"/>
        <v>130</v>
      </c>
      <c r="Z241" s="197">
        <f t="shared" ca="1" si="262"/>
        <v>0</v>
      </c>
      <c r="AA241" s="197">
        <f t="shared" ca="1" si="263"/>
        <v>0</v>
      </c>
      <c r="AB241" s="197">
        <f t="shared" ca="1" si="264"/>
        <v>0</v>
      </c>
    </row>
    <row r="242" spans="2:28" ht="18" customHeight="1">
      <c r="B242" s="583"/>
      <c r="C242" s="586"/>
      <c r="D242" s="588"/>
      <c r="E242" s="590"/>
      <c r="F242" s="590"/>
      <c r="G242" s="590"/>
      <c r="H242" s="207" t="s">
        <v>33</v>
      </c>
      <c r="I242" s="207" t="s">
        <v>176</v>
      </c>
      <c r="J242" s="199">
        <f>'KH Wind Rephase'!H9</f>
        <v>0</v>
      </c>
      <c r="K242" s="199">
        <f>'KH Wind Rephase'!I9</f>
        <v>0</v>
      </c>
      <c r="L242" s="199">
        <f>'KH Wind Rephase'!J9</f>
        <v>0</v>
      </c>
      <c r="M242" s="199">
        <f>'KH Wind Rephase'!K9</f>
        <v>52</v>
      </c>
      <c r="N242" s="199">
        <f>'KH Wind Rephase'!L9</f>
        <v>26</v>
      </c>
      <c r="O242" s="199">
        <f>'KH Wind Rephase'!M9</f>
        <v>26</v>
      </c>
      <c r="P242" s="199">
        <f>'KH Wind Rephase'!N9</f>
        <v>26</v>
      </c>
      <c r="Q242" s="199">
        <f>'KH Wind Rephase'!O9</f>
        <v>0</v>
      </c>
      <c r="R242" s="199">
        <f>'KH Wind Rephase'!P9</f>
        <v>0</v>
      </c>
      <c r="S242" s="199">
        <f>'KH Wind Rephase'!Q9</f>
        <v>0</v>
      </c>
      <c r="T242" s="199">
        <f>'KH Wind Rephase'!R9</f>
        <v>0</v>
      </c>
      <c r="U242" s="199">
        <f>'KH Wind Rephase'!S9</f>
        <v>0</v>
      </c>
      <c r="V242" s="195">
        <f t="shared" si="259"/>
        <v>130</v>
      </c>
      <c r="W242" s="195">
        <f t="shared" ca="1" si="260"/>
        <v>130</v>
      </c>
      <c r="Y242" s="199">
        <f t="shared" ca="1" si="261"/>
        <v>0</v>
      </c>
      <c r="Z242" s="199">
        <f t="shared" ca="1" si="262"/>
        <v>104</v>
      </c>
      <c r="AA242" s="199">
        <f t="shared" ca="1" si="263"/>
        <v>26</v>
      </c>
      <c r="AB242" s="199">
        <f t="shared" ca="1" si="264"/>
        <v>0</v>
      </c>
    </row>
    <row r="243" spans="2:28" ht="18" customHeight="1">
      <c r="B243" s="584"/>
      <c r="C243" s="587"/>
      <c r="D243" s="589"/>
      <c r="E243" s="591"/>
      <c r="F243" s="591"/>
      <c r="G243" s="591"/>
      <c r="H243" s="207" t="s">
        <v>33</v>
      </c>
      <c r="I243" s="207" t="s">
        <v>177</v>
      </c>
      <c r="J243" s="199">
        <f>'KH Wind Actual'!H10</f>
        <v>0</v>
      </c>
      <c r="K243" s="199">
        <f>'KH Wind Actual'!I10</f>
        <v>0</v>
      </c>
      <c r="L243" s="199">
        <f>'KH Wind Actual'!J10</f>
        <v>0</v>
      </c>
      <c r="M243" s="199">
        <f>'KH Wind Actual'!K10</f>
        <v>0</v>
      </c>
      <c r="N243" s="199">
        <f>'KH Wind Actual'!L10</f>
        <v>124.80000000000001</v>
      </c>
      <c r="O243" s="199">
        <f>'KH Wind Actual'!M10</f>
        <v>0</v>
      </c>
      <c r="P243" s="199">
        <f>'KH Wind Actual'!N10</f>
        <v>0</v>
      </c>
      <c r="Q243" s="199">
        <f>'KH Wind Actual'!O10</f>
        <v>5.2</v>
      </c>
      <c r="R243" s="199">
        <f>'KH Wind Actual'!P10</f>
        <v>0</v>
      </c>
      <c r="S243" s="199">
        <f>'KH Wind Actual'!Q10</f>
        <v>0</v>
      </c>
      <c r="T243" s="199">
        <f>'KH Wind Actual'!R10</f>
        <v>0</v>
      </c>
      <c r="U243" s="199">
        <f>'KH Wind Actual'!S10</f>
        <v>0</v>
      </c>
      <c r="V243" s="195">
        <f t="shared" si="259"/>
        <v>130</v>
      </c>
      <c r="W243" s="195">
        <f t="shared" ca="1" si="260"/>
        <v>130</v>
      </c>
      <c r="Y243" s="199">
        <f t="shared" ca="1" si="261"/>
        <v>0</v>
      </c>
      <c r="Z243" s="199">
        <f t="shared" ca="1" si="262"/>
        <v>124.80000000000001</v>
      </c>
      <c r="AA243" s="199">
        <f t="shared" ca="1" si="263"/>
        <v>5.2</v>
      </c>
      <c r="AB243" s="199">
        <f t="shared" ca="1" si="264"/>
        <v>0</v>
      </c>
    </row>
    <row r="244" spans="2:28" ht="18" customHeight="1">
      <c r="B244" s="582">
        <v>7</v>
      </c>
      <c r="C244" s="585" t="s">
        <v>69</v>
      </c>
      <c r="D244" s="585" t="s">
        <v>70</v>
      </c>
      <c r="E244" s="582" t="s">
        <v>33</v>
      </c>
      <c r="F244" s="582" t="s">
        <v>75</v>
      </c>
      <c r="G244" s="582">
        <f>3*5.2</f>
        <v>15.600000000000001</v>
      </c>
      <c r="H244" s="206" t="s">
        <v>33</v>
      </c>
      <c r="I244" s="206" t="s">
        <v>175</v>
      </c>
      <c r="J244" s="197">
        <f>'KH Wind Plan'!H10</f>
        <v>0</v>
      </c>
      <c r="K244" s="197" t="str">
        <f>'KH Wind Plan'!I10</f>
        <v xml:space="preserve"> </v>
      </c>
      <c r="L244" s="197">
        <f>'KH Wind Plan'!J10</f>
        <v>15.600000000000001</v>
      </c>
      <c r="M244" s="197">
        <f>'KH Wind Plan'!K10</f>
        <v>0</v>
      </c>
      <c r="N244" s="197">
        <f>'KH Wind Plan'!L10</f>
        <v>0</v>
      </c>
      <c r="O244" s="197">
        <f>'KH Wind Plan'!M10</f>
        <v>0</v>
      </c>
      <c r="P244" s="197">
        <f>'KH Wind Plan'!N10</f>
        <v>0</v>
      </c>
      <c r="Q244" s="197">
        <f>'KH Wind Plan'!O10</f>
        <v>0</v>
      </c>
      <c r="R244" s="197">
        <f>'KH Wind Plan'!P10</f>
        <v>0</v>
      </c>
      <c r="S244" s="197">
        <f>'KH Wind Plan'!Q10</f>
        <v>0</v>
      </c>
      <c r="T244" s="197">
        <f>'KH Wind Plan'!R10</f>
        <v>0</v>
      </c>
      <c r="U244" s="197">
        <f>'KH Wind Plan'!S10</f>
        <v>0</v>
      </c>
      <c r="V244" s="194">
        <f t="shared" si="259"/>
        <v>15.600000000000001</v>
      </c>
      <c r="W244" s="194">
        <f t="shared" ca="1" si="260"/>
        <v>15.600000000000001</v>
      </c>
      <c r="Y244" s="197">
        <f t="shared" ca="1" si="261"/>
        <v>15.600000000000001</v>
      </c>
      <c r="Z244" s="197">
        <f t="shared" ca="1" si="262"/>
        <v>0</v>
      </c>
      <c r="AA244" s="197">
        <f t="shared" ca="1" si="263"/>
        <v>0</v>
      </c>
      <c r="AB244" s="197">
        <f t="shared" ca="1" si="264"/>
        <v>0</v>
      </c>
    </row>
    <row r="245" spans="2:28" ht="18" customHeight="1">
      <c r="B245" s="583"/>
      <c r="C245" s="586"/>
      <c r="D245" s="588"/>
      <c r="E245" s="590"/>
      <c r="F245" s="590"/>
      <c r="G245" s="590"/>
      <c r="H245" s="207" t="s">
        <v>33</v>
      </c>
      <c r="I245" s="207" t="s">
        <v>176</v>
      </c>
      <c r="J245" s="199">
        <f>'KH Wind Rephase'!H10</f>
        <v>0</v>
      </c>
      <c r="K245" s="199">
        <f>'KH Wind Rephase'!I10</f>
        <v>0</v>
      </c>
      <c r="L245" s="199">
        <f>'KH Wind Rephase'!J10</f>
        <v>0</v>
      </c>
      <c r="M245" s="199">
        <f>'KH Wind Rephase'!K10</f>
        <v>0</v>
      </c>
      <c r="N245" s="199">
        <f>'KH Wind Rephase'!L10</f>
        <v>15.600000000000001</v>
      </c>
      <c r="O245" s="199">
        <f>'KH Wind Rephase'!M10</f>
        <v>0</v>
      </c>
      <c r="P245" s="199">
        <f>'KH Wind Rephase'!N10</f>
        <v>0</v>
      </c>
      <c r="Q245" s="199">
        <f>'KH Wind Rephase'!O10</f>
        <v>0</v>
      </c>
      <c r="R245" s="199">
        <f>'KH Wind Rephase'!P10</f>
        <v>0</v>
      </c>
      <c r="S245" s="199">
        <f>'KH Wind Rephase'!Q10</f>
        <v>0</v>
      </c>
      <c r="T245" s="199">
        <f>'KH Wind Rephase'!R10</f>
        <v>0</v>
      </c>
      <c r="U245" s="199">
        <f>'KH Wind Rephase'!S10</f>
        <v>0</v>
      </c>
      <c r="V245" s="195">
        <f t="shared" si="259"/>
        <v>15.600000000000001</v>
      </c>
      <c r="W245" s="195">
        <f t="shared" ca="1" si="260"/>
        <v>15.600000000000001</v>
      </c>
      <c r="Y245" s="199">
        <f t="shared" ca="1" si="261"/>
        <v>0</v>
      </c>
      <c r="Z245" s="199">
        <f t="shared" ca="1" si="262"/>
        <v>15.600000000000001</v>
      </c>
      <c r="AA245" s="199">
        <f t="shared" ca="1" si="263"/>
        <v>0</v>
      </c>
      <c r="AB245" s="199">
        <f t="shared" ca="1" si="264"/>
        <v>0</v>
      </c>
    </row>
    <row r="246" spans="2:28" ht="18" customHeight="1">
      <c r="B246" s="584"/>
      <c r="C246" s="587"/>
      <c r="D246" s="589"/>
      <c r="E246" s="591"/>
      <c r="F246" s="591"/>
      <c r="G246" s="591"/>
      <c r="H246" s="207" t="s">
        <v>33</v>
      </c>
      <c r="I246" s="207" t="s">
        <v>177</v>
      </c>
      <c r="J246" s="199">
        <f>'KH Wind Actual'!H11</f>
        <v>0</v>
      </c>
      <c r="K246" s="199">
        <f>'KH Wind Actual'!I11</f>
        <v>0</v>
      </c>
      <c r="L246" s="199">
        <f>'KH Wind Actual'!J11</f>
        <v>0</v>
      </c>
      <c r="M246" s="199">
        <f>'KH Wind Actual'!K11</f>
        <v>15.600000000000001</v>
      </c>
      <c r="N246" s="199">
        <f>'KH Wind Actual'!L11</f>
        <v>0</v>
      </c>
      <c r="O246" s="199">
        <f>'KH Wind Actual'!M11</f>
        <v>0</v>
      </c>
      <c r="P246" s="199">
        <f>'KH Wind Actual'!N11</f>
        <v>0</v>
      </c>
      <c r="Q246" s="199">
        <f>'KH Wind Actual'!O11</f>
        <v>0</v>
      </c>
      <c r="R246" s="199">
        <f>'KH Wind Actual'!P11</f>
        <v>0</v>
      </c>
      <c r="S246" s="199">
        <f>'KH Wind Actual'!Q11</f>
        <v>0</v>
      </c>
      <c r="T246" s="199">
        <f>'KH Wind Actual'!R11</f>
        <v>0</v>
      </c>
      <c r="U246" s="199">
        <f>'KH Wind Actual'!S11</f>
        <v>0</v>
      </c>
      <c r="V246" s="195">
        <f t="shared" si="259"/>
        <v>15.600000000000001</v>
      </c>
      <c r="W246" s="195">
        <f t="shared" ca="1" si="260"/>
        <v>15.600000000000001</v>
      </c>
      <c r="Y246" s="199">
        <f t="shared" ca="1" si="261"/>
        <v>0</v>
      </c>
      <c r="Z246" s="199">
        <f t="shared" ca="1" si="262"/>
        <v>15.600000000000001</v>
      </c>
      <c r="AA246" s="199">
        <f t="shared" ca="1" si="263"/>
        <v>0</v>
      </c>
      <c r="AB246" s="199">
        <f t="shared" ca="1" si="264"/>
        <v>0</v>
      </c>
    </row>
    <row r="247" spans="2:28" ht="18" customHeight="1">
      <c r="B247" s="582">
        <v>8</v>
      </c>
      <c r="C247" s="585" t="s">
        <v>69</v>
      </c>
      <c r="D247" s="585" t="s">
        <v>70</v>
      </c>
      <c r="E247" s="582" t="s">
        <v>33</v>
      </c>
      <c r="F247" s="582" t="s">
        <v>75</v>
      </c>
      <c r="G247" s="582">
        <f>5*5.2</f>
        <v>26</v>
      </c>
      <c r="H247" s="206" t="s">
        <v>33</v>
      </c>
      <c r="I247" s="206" t="s">
        <v>175</v>
      </c>
      <c r="J247" s="197">
        <f>'KH Wind Plan'!H11</f>
        <v>0</v>
      </c>
      <c r="K247" s="197">
        <f>'KH Wind Plan'!I11</f>
        <v>0</v>
      </c>
      <c r="L247" s="197">
        <f>'KH Wind Plan'!J11</f>
        <v>26</v>
      </c>
      <c r="M247" s="197">
        <f>'KH Wind Plan'!K11</f>
        <v>0</v>
      </c>
      <c r="N247" s="197">
        <f>'KH Wind Plan'!L11</f>
        <v>0</v>
      </c>
      <c r="O247" s="197">
        <f>'KH Wind Plan'!M11</f>
        <v>0</v>
      </c>
      <c r="P247" s="197">
        <f>'KH Wind Plan'!N11</f>
        <v>0</v>
      </c>
      <c r="Q247" s="197">
        <f>'KH Wind Plan'!O11</f>
        <v>0</v>
      </c>
      <c r="R247" s="197">
        <f>'KH Wind Plan'!P11</f>
        <v>0</v>
      </c>
      <c r="S247" s="197">
        <f>'KH Wind Plan'!Q11</f>
        <v>0</v>
      </c>
      <c r="T247" s="197">
        <f>'KH Wind Plan'!R11</f>
        <v>0</v>
      </c>
      <c r="U247" s="197">
        <f>'KH Wind Plan'!S11</f>
        <v>0</v>
      </c>
      <c r="V247" s="194">
        <f t="shared" si="259"/>
        <v>26</v>
      </c>
      <c r="W247" s="194">
        <f t="shared" ca="1" si="260"/>
        <v>26</v>
      </c>
      <c r="Y247" s="197">
        <f t="shared" ca="1" si="261"/>
        <v>26</v>
      </c>
      <c r="Z247" s="197">
        <f t="shared" ca="1" si="262"/>
        <v>0</v>
      </c>
      <c r="AA247" s="197">
        <f t="shared" ca="1" si="263"/>
        <v>0</v>
      </c>
      <c r="AB247" s="197">
        <f t="shared" ca="1" si="264"/>
        <v>0</v>
      </c>
    </row>
    <row r="248" spans="2:28" ht="18" customHeight="1">
      <c r="B248" s="583"/>
      <c r="C248" s="586"/>
      <c r="D248" s="588"/>
      <c r="E248" s="590"/>
      <c r="F248" s="590"/>
      <c r="G248" s="590"/>
      <c r="H248" s="207" t="s">
        <v>33</v>
      </c>
      <c r="I248" s="207" t="s">
        <v>176</v>
      </c>
      <c r="J248" s="199">
        <f>'KH Wind Rephase'!H11</f>
        <v>0</v>
      </c>
      <c r="K248" s="199">
        <f>'KH Wind Rephase'!I11</f>
        <v>0</v>
      </c>
      <c r="L248" s="199">
        <f>'KH Wind Rephase'!J11</f>
        <v>0</v>
      </c>
      <c r="M248" s="199">
        <f>'KH Wind Rephase'!K11</f>
        <v>0</v>
      </c>
      <c r="N248" s="199">
        <f>'KH Wind Rephase'!L11</f>
        <v>26</v>
      </c>
      <c r="O248" s="199">
        <f>'KH Wind Rephase'!M11</f>
        <v>0</v>
      </c>
      <c r="P248" s="199">
        <f>'KH Wind Rephase'!N11</f>
        <v>0</v>
      </c>
      <c r="Q248" s="199">
        <f>'KH Wind Rephase'!O11</f>
        <v>0</v>
      </c>
      <c r="R248" s="199">
        <f>'KH Wind Rephase'!P11</f>
        <v>0</v>
      </c>
      <c r="S248" s="199">
        <f>'KH Wind Rephase'!Q11</f>
        <v>0</v>
      </c>
      <c r="T248" s="199">
        <f>'KH Wind Rephase'!R11</f>
        <v>0</v>
      </c>
      <c r="U248" s="199">
        <f>'KH Wind Rephase'!S11</f>
        <v>0</v>
      </c>
      <c r="V248" s="195">
        <f t="shared" si="259"/>
        <v>26</v>
      </c>
      <c r="W248" s="195">
        <f t="shared" ca="1" si="260"/>
        <v>26</v>
      </c>
      <c r="Y248" s="199">
        <f t="shared" ca="1" si="261"/>
        <v>0</v>
      </c>
      <c r="Z248" s="199">
        <f t="shared" ca="1" si="262"/>
        <v>26</v>
      </c>
      <c r="AA248" s="199">
        <f t="shared" ca="1" si="263"/>
        <v>0</v>
      </c>
      <c r="AB248" s="199">
        <f t="shared" ca="1" si="264"/>
        <v>0</v>
      </c>
    </row>
    <row r="249" spans="2:28" ht="18" customHeight="1">
      <c r="B249" s="584"/>
      <c r="C249" s="587"/>
      <c r="D249" s="589"/>
      <c r="E249" s="591"/>
      <c r="F249" s="591"/>
      <c r="G249" s="591"/>
      <c r="H249" s="207" t="s">
        <v>33</v>
      </c>
      <c r="I249" s="207" t="s">
        <v>177</v>
      </c>
      <c r="J249" s="199">
        <f>'KH Wind Actual'!H12</f>
        <v>0</v>
      </c>
      <c r="K249" s="199">
        <f>'KH Wind Actual'!I12</f>
        <v>0</v>
      </c>
      <c r="L249" s="199">
        <f>'KH Wind Actual'!J12</f>
        <v>0</v>
      </c>
      <c r="M249" s="199">
        <f>'KH Wind Actual'!K12</f>
        <v>26</v>
      </c>
      <c r="N249" s="199">
        <f>'KH Wind Actual'!L12</f>
        <v>0</v>
      </c>
      <c r="O249" s="199">
        <f>'KH Wind Actual'!M12</f>
        <v>0</v>
      </c>
      <c r="P249" s="199">
        <f>'KH Wind Actual'!N12</f>
        <v>0</v>
      </c>
      <c r="Q249" s="199">
        <f>'KH Wind Actual'!O12</f>
        <v>0</v>
      </c>
      <c r="R249" s="199">
        <f>'KH Wind Actual'!P12</f>
        <v>0</v>
      </c>
      <c r="S249" s="199">
        <f>'KH Wind Actual'!Q12</f>
        <v>0</v>
      </c>
      <c r="T249" s="199">
        <f>'KH Wind Actual'!R12</f>
        <v>0</v>
      </c>
      <c r="U249" s="199">
        <f>'KH Wind Actual'!S12</f>
        <v>0</v>
      </c>
      <c r="V249" s="195">
        <f t="shared" si="259"/>
        <v>26</v>
      </c>
      <c r="W249" s="195">
        <f t="shared" ca="1" si="260"/>
        <v>26</v>
      </c>
      <c r="Y249" s="199">
        <f t="shared" ca="1" si="261"/>
        <v>0</v>
      </c>
      <c r="Z249" s="199">
        <f t="shared" ca="1" si="262"/>
        <v>26</v>
      </c>
      <c r="AA249" s="199">
        <f t="shared" ca="1" si="263"/>
        <v>0</v>
      </c>
      <c r="AB249" s="199">
        <f t="shared" ca="1" si="264"/>
        <v>0</v>
      </c>
    </row>
    <row r="250" spans="2:28" ht="18" customHeight="1">
      <c r="B250" s="582">
        <v>9</v>
      </c>
      <c r="C250" s="585" t="s">
        <v>84</v>
      </c>
      <c r="D250" s="585" t="s">
        <v>80</v>
      </c>
      <c r="E250" s="582" t="s">
        <v>33</v>
      </c>
      <c r="F250" s="582" t="s">
        <v>75</v>
      </c>
      <c r="G250" s="582">
        <f>12*5.2</f>
        <v>62.400000000000006</v>
      </c>
      <c r="H250" s="206" t="s">
        <v>33</v>
      </c>
      <c r="I250" s="206" t="s">
        <v>175</v>
      </c>
      <c r="J250" s="197">
        <f>'KH Wind Plan'!H12</f>
        <v>0</v>
      </c>
      <c r="K250" s="197">
        <f>'KH Wind Plan'!I12</f>
        <v>0</v>
      </c>
      <c r="L250" s="197">
        <f>'KH Wind Plan'!J12</f>
        <v>41.6</v>
      </c>
      <c r="M250" s="197">
        <f>'KH Wind Plan'!K12</f>
        <v>20.8</v>
      </c>
      <c r="N250" s="197">
        <f>'KH Wind Plan'!L12</f>
        <v>0</v>
      </c>
      <c r="O250" s="197">
        <f>'KH Wind Plan'!M12</f>
        <v>0</v>
      </c>
      <c r="P250" s="197">
        <f>'KH Wind Plan'!N12</f>
        <v>0</v>
      </c>
      <c r="Q250" s="197">
        <f>'KH Wind Plan'!O12</f>
        <v>0</v>
      </c>
      <c r="R250" s="197">
        <f>'KH Wind Plan'!P12</f>
        <v>0</v>
      </c>
      <c r="S250" s="197">
        <f>'KH Wind Plan'!Q12</f>
        <v>0</v>
      </c>
      <c r="T250" s="197">
        <f>'KH Wind Plan'!R12</f>
        <v>0</v>
      </c>
      <c r="U250" s="197">
        <f>'KH Wind Plan'!S12</f>
        <v>0</v>
      </c>
      <c r="V250" s="194">
        <f t="shared" si="259"/>
        <v>62.400000000000006</v>
      </c>
      <c r="W250" s="194">
        <f t="shared" ca="1" si="260"/>
        <v>62.400000000000006</v>
      </c>
      <c r="Y250" s="197">
        <f t="shared" ca="1" si="261"/>
        <v>41.6</v>
      </c>
      <c r="Z250" s="197">
        <f t="shared" ca="1" si="262"/>
        <v>20.8</v>
      </c>
      <c r="AA250" s="197">
        <f t="shared" ca="1" si="263"/>
        <v>0</v>
      </c>
      <c r="AB250" s="197">
        <f t="shared" ca="1" si="264"/>
        <v>0</v>
      </c>
    </row>
    <row r="251" spans="2:28" ht="18" customHeight="1">
      <c r="B251" s="583"/>
      <c r="C251" s="586"/>
      <c r="D251" s="588"/>
      <c r="E251" s="590"/>
      <c r="F251" s="590"/>
      <c r="G251" s="590"/>
      <c r="H251" s="207" t="s">
        <v>33</v>
      </c>
      <c r="I251" s="207" t="s">
        <v>176</v>
      </c>
      <c r="J251" s="199">
        <f>'KH Wind Rephase'!H12</f>
        <v>0</v>
      </c>
      <c r="K251" s="199">
        <f>'KH Wind Rephase'!I12</f>
        <v>0</v>
      </c>
      <c r="L251" s="199">
        <f>'KH Wind Rephase'!J12</f>
        <v>0</v>
      </c>
      <c r="M251" s="199">
        <f>'KH Wind Rephase'!K12</f>
        <v>0</v>
      </c>
      <c r="N251" s="199">
        <f>'KH Wind Rephase'!L12</f>
        <v>0</v>
      </c>
      <c r="O251" s="199">
        <f>'KH Wind Rephase'!M12</f>
        <v>0</v>
      </c>
      <c r="P251" s="199">
        <f>'KH Wind Rephase'!N12</f>
        <v>62.400000000000006</v>
      </c>
      <c r="Q251" s="199">
        <f>'KH Wind Rephase'!O12</f>
        <v>0</v>
      </c>
      <c r="R251" s="199">
        <f>'KH Wind Rephase'!P12</f>
        <v>0</v>
      </c>
      <c r="S251" s="199">
        <f>'KH Wind Rephase'!Q12</f>
        <v>0</v>
      </c>
      <c r="T251" s="199">
        <f>'KH Wind Rephase'!R12</f>
        <v>0</v>
      </c>
      <c r="U251" s="199">
        <f>'KH Wind Rephase'!S12</f>
        <v>0</v>
      </c>
      <c r="V251" s="195">
        <f t="shared" si="259"/>
        <v>62.400000000000006</v>
      </c>
      <c r="W251" s="195">
        <f t="shared" ca="1" si="260"/>
        <v>62.400000000000006</v>
      </c>
      <c r="Y251" s="199">
        <f t="shared" ca="1" si="261"/>
        <v>0</v>
      </c>
      <c r="Z251" s="199">
        <f t="shared" ca="1" si="262"/>
        <v>0</v>
      </c>
      <c r="AA251" s="199">
        <f t="shared" ca="1" si="263"/>
        <v>62.400000000000006</v>
      </c>
      <c r="AB251" s="199">
        <f t="shared" ca="1" si="264"/>
        <v>0</v>
      </c>
    </row>
    <row r="252" spans="2:28" ht="18" customHeight="1">
      <c r="B252" s="584"/>
      <c r="C252" s="587"/>
      <c r="D252" s="589"/>
      <c r="E252" s="591"/>
      <c r="F252" s="591"/>
      <c r="G252" s="591"/>
      <c r="H252" s="207" t="s">
        <v>33</v>
      </c>
      <c r="I252" s="207" t="s">
        <v>177</v>
      </c>
      <c r="J252" s="199">
        <f>'KH Wind Actual'!H13</f>
        <v>0</v>
      </c>
      <c r="K252" s="199">
        <f>'KH Wind Actual'!I13</f>
        <v>0</v>
      </c>
      <c r="L252" s="199">
        <f>'KH Wind Actual'!J13</f>
        <v>0</v>
      </c>
      <c r="M252" s="199">
        <f>'KH Wind Actual'!K13</f>
        <v>0</v>
      </c>
      <c r="N252" s="199">
        <f>'KH Wind Actual'!L13</f>
        <v>0</v>
      </c>
      <c r="O252" s="199">
        <f>'KH Wind Actual'!M13</f>
        <v>0</v>
      </c>
      <c r="P252" s="199">
        <f>'KH Wind Actual'!N13</f>
        <v>0</v>
      </c>
      <c r="Q252" s="199">
        <f>'KH Wind Actual'!O13</f>
        <v>0</v>
      </c>
      <c r="R252" s="199">
        <f>'KH Wind Actual'!P13</f>
        <v>0</v>
      </c>
      <c r="S252" s="199">
        <f>'KH Wind Actual'!Q13</f>
        <v>31.200000000000003</v>
      </c>
      <c r="T252" s="199">
        <f>'KH Wind Actual'!R13</f>
        <v>20.8</v>
      </c>
      <c r="U252" s="199">
        <f>'KH Wind Actual'!S13</f>
        <v>10.4</v>
      </c>
      <c r="V252" s="195">
        <f t="shared" si="259"/>
        <v>62.4</v>
      </c>
      <c r="W252" s="195">
        <f t="shared" ca="1" si="260"/>
        <v>0</v>
      </c>
      <c r="Y252" s="199">
        <f t="shared" ca="1" si="261"/>
        <v>0</v>
      </c>
      <c r="Z252" s="199">
        <f t="shared" ca="1" si="262"/>
        <v>0</v>
      </c>
      <c r="AA252" s="199">
        <f t="shared" ca="1" si="263"/>
        <v>0</v>
      </c>
      <c r="AB252" s="199">
        <f t="shared" ca="1" si="264"/>
        <v>62.4</v>
      </c>
    </row>
    <row r="253" spans="2:28" ht="18" customHeight="1">
      <c r="B253" s="582">
        <v>10</v>
      </c>
      <c r="C253" s="585" t="s">
        <v>49</v>
      </c>
      <c r="D253" s="585" t="s">
        <v>50</v>
      </c>
      <c r="E253" s="582" t="s">
        <v>44</v>
      </c>
      <c r="F253" s="582" t="s">
        <v>53</v>
      </c>
      <c r="G253" s="582">
        <f>39*5.2</f>
        <v>202.8</v>
      </c>
      <c r="H253" s="206" t="s">
        <v>44</v>
      </c>
      <c r="I253" s="206" t="s">
        <v>175</v>
      </c>
      <c r="J253" s="197">
        <f>'KH Wind Plan'!H13</f>
        <v>0</v>
      </c>
      <c r="K253" s="197">
        <f>'KH Wind Plan'!I13</f>
        <v>0</v>
      </c>
      <c r="L253" s="197">
        <f>'KH Wind Plan'!J13</f>
        <v>0</v>
      </c>
      <c r="M253" s="197">
        <f>'KH Wind Plan'!K13</f>
        <v>72.8</v>
      </c>
      <c r="N253" s="197">
        <f>'KH Wind Plan'!L13</f>
        <v>26</v>
      </c>
      <c r="O253" s="197">
        <f>'KH Wind Plan'!M13</f>
        <v>26</v>
      </c>
      <c r="P253" s="197">
        <f>'KH Wind Plan'!N13</f>
        <v>52</v>
      </c>
      <c r="Q253" s="197">
        <f>'KH Wind Plan'!O13</f>
        <v>26</v>
      </c>
      <c r="R253" s="197">
        <f>'KH Wind Plan'!P13</f>
        <v>0</v>
      </c>
      <c r="S253" s="197">
        <f>'KH Wind Plan'!Q13</f>
        <v>0</v>
      </c>
      <c r="T253" s="197">
        <f>'KH Wind Plan'!R13</f>
        <v>0</v>
      </c>
      <c r="U253" s="197">
        <f>'KH Wind Plan'!S13</f>
        <v>0</v>
      </c>
      <c r="V253" s="194">
        <f t="shared" si="259"/>
        <v>202.8</v>
      </c>
      <c r="W253" s="194">
        <f t="shared" ca="1" si="260"/>
        <v>202.8</v>
      </c>
      <c r="Y253" s="197">
        <f t="shared" ca="1" si="261"/>
        <v>0</v>
      </c>
      <c r="Z253" s="197">
        <f t="shared" ca="1" si="262"/>
        <v>124.8</v>
      </c>
      <c r="AA253" s="197">
        <f t="shared" ca="1" si="263"/>
        <v>78</v>
      </c>
      <c r="AB253" s="197">
        <f t="shared" ca="1" si="264"/>
        <v>0</v>
      </c>
    </row>
    <row r="254" spans="2:28" ht="18" customHeight="1">
      <c r="B254" s="583"/>
      <c r="C254" s="586"/>
      <c r="D254" s="588"/>
      <c r="E254" s="590"/>
      <c r="F254" s="590"/>
      <c r="G254" s="590"/>
      <c r="H254" s="207" t="s">
        <v>44</v>
      </c>
      <c r="I254" s="207" t="s">
        <v>176</v>
      </c>
      <c r="J254" s="199">
        <f>'KH Wind Rephase'!H13</f>
        <v>0</v>
      </c>
      <c r="K254" s="199">
        <f>'KH Wind Rephase'!I13</f>
        <v>0</v>
      </c>
      <c r="L254" s="199">
        <f>'KH Wind Rephase'!J13</f>
        <v>0</v>
      </c>
      <c r="M254" s="199">
        <f>'KH Wind Rephase'!K13</f>
        <v>0</v>
      </c>
      <c r="N254" s="199">
        <f>'KH Wind Rephase'!L13</f>
        <v>0</v>
      </c>
      <c r="O254" s="199">
        <f>'KH Wind Rephase'!M13</f>
        <v>0</v>
      </c>
      <c r="P254" s="199">
        <f>'KH Wind Rephase'!N13</f>
        <v>0</v>
      </c>
      <c r="Q254" s="199">
        <f>'KH Wind Rephase'!O13</f>
        <v>104</v>
      </c>
      <c r="R254" s="199">
        <f>'KH Wind Rephase'!P13</f>
        <v>98.8</v>
      </c>
      <c r="S254" s="199">
        <f>'KH Wind Rephase'!Q13</f>
        <v>0</v>
      </c>
      <c r="T254" s="199">
        <f>'KH Wind Rephase'!R13</f>
        <v>0</v>
      </c>
      <c r="U254" s="199">
        <f>'KH Wind Rephase'!S13</f>
        <v>0</v>
      </c>
      <c r="V254" s="195">
        <f t="shared" si="259"/>
        <v>202.8</v>
      </c>
      <c r="W254" s="195">
        <f t="shared" ca="1" si="260"/>
        <v>104</v>
      </c>
      <c r="Y254" s="199">
        <f t="shared" ca="1" si="261"/>
        <v>0</v>
      </c>
      <c r="Z254" s="199">
        <f t="shared" ca="1" si="262"/>
        <v>0</v>
      </c>
      <c r="AA254" s="199">
        <f t="shared" ca="1" si="263"/>
        <v>202.8</v>
      </c>
      <c r="AB254" s="199">
        <f t="shared" ca="1" si="264"/>
        <v>0</v>
      </c>
    </row>
    <row r="255" spans="2:28" ht="18" customHeight="1">
      <c r="B255" s="584"/>
      <c r="C255" s="587"/>
      <c r="D255" s="589"/>
      <c r="E255" s="591"/>
      <c r="F255" s="591"/>
      <c r="G255" s="591"/>
      <c r="H255" s="207" t="s">
        <v>44</v>
      </c>
      <c r="I255" s="207" t="s">
        <v>177</v>
      </c>
      <c r="J255" s="199">
        <f>'KH Wind Actual'!H14</f>
        <v>0</v>
      </c>
      <c r="K255" s="199">
        <f>'KH Wind Actual'!I14</f>
        <v>0</v>
      </c>
      <c r="L255" s="199">
        <f>'KH Wind Actual'!J14</f>
        <v>0</v>
      </c>
      <c r="M255" s="199">
        <f>'KH Wind Actual'!K14</f>
        <v>0</v>
      </c>
      <c r="N255" s="199">
        <f>'KH Wind Actual'!L14</f>
        <v>0</v>
      </c>
      <c r="O255" s="199">
        <f>'KH Wind Actual'!M14</f>
        <v>0</v>
      </c>
      <c r="P255" s="199">
        <f>'KH Wind Actual'!N14</f>
        <v>78</v>
      </c>
      <c r="Q255" s="199">
        <f>'KH Wind Actual'!O14</f>
        <v>46.800000000000004</v>
      </c>
      <c r="R255" s="199">
        <f>'KH Wind Actual'!P14</f>
        <v>57.2</v>
      </c>
      <c r="S255" s="199">
        <f>'KH Wind Actual'!Q14</f>
        <v>0</v>
      </c>
      <c r="T255" s="199">
        <f>'KH Wind Actual'!R14</f>
        <v>0</v>
      </c>
      <c r="U255" s="199">
        <f>'KH Wind Actual'!S14</f>
        <v>20.8</v>
      </c>
      <c r="V255" s="195">
        <f t="shared" si="259"/>
        <v>202.8</v>
      </c>
      <c r="W255" s="195">
        <f t="shared" ca="1" si="260"/>
        <v>124.80000000000001</v>
      </c>
      <c r="Y255" s="199">
        <f t="shared" ca="1" si="261"/>
        <v>0</v>
      </c>
      <c r="Z255" s="199">
        <f t="shared" ca="1" si="262"/>
        <v>0</v>
      </c>
      <c r="AA255" s="199">
        <f t="shared" ca="1" si="263"/>
        <v>182</v>
      </c>
      <c r="AB255" s="199">
        <f t="shared" ca="1" si="264"/>
        <v>20.8</v>
      </c>
    </row>
    <row r="256" spans="2:28" ht="18" customHeight="1">
      <c r="B256" s="582" t="s">
        <v>209</v>
      </c>
      <c r="C256" s="585" t="s">
        <v>30</v>
      </c>
      <c r="D256" s="585" t="s">
        <v>111</v>
      </c>
      <c r="E256" s="582" t="s">
        <v>33</v>
      </c>
      <c r="F256" s="616" t="s">
        <v>136</v>
      </c>
      <c r="G256" s="582">
        <f>30*5.2</f>
        <v>156</v>
      </c>
      <c r="H256" s="206" t="s">
        <v>33</v>
      </c>
      <c r="I256" s="206" t="s">
        <v>175</v>
      </c>
      <c r="J256" s="197">
        <f>'KH Wind Plan'!H14</f>
        <v>0</v>
      </c>
      <c r="K256" s="197">
        <f>'KH Wind Plan'!I14</f>
        <v>0</v>
      </c>
      <c r="L256" s="197">
        <f>'KH Wind Plan'!J14</f>
        <v>0</v>
      </c>
      <c r="M256" s="197">
        <f>'KH Wind Plan'!K14</f>
        <v>0</v>
      </c>
      <c r="N256" s="197">
        <f>'KH Wind Plan'!L14</f>
        <v>0</v>
      </c>
      <c r="O256" s="197">
        <f>'KH Wind Plan'!M14</f>
        <v>0</v>
      </c>
      <c r="P256" s="197">
        <f>'KH Wind Plan'!N14</f>
        <v>0</v>
      </c>
      <c r="Q256" s="197">
        <f>'KH Wind Plan'!O14</f>
        <v>104</v>
      </c>
      <c r="R256" s="197">
        <f>'KH Wind Plan'!P14</f>
        <v>52</v>
      </c>
      <c r="S256" s="197">
        <f>'KH Wind Plan'!Q14</f>
        <v>0</v>
      </c>
      <c r="T256" s="197">
        <f>'KH Wind Plan'!R14</f>
        <v>0</v>
      </c>
      <c r="U256" s="197">
        <f>'KH Wind Plan'!S14</f>
        <v>0</v>
      </c>
      <c r="V256" s="194">
        <f t="shared" si="259"/>
        <v>156</v>
      </c>
      <c r="W256" s="194">
        <f t="shared" ca="1" si="260"/>
        <v>104</v>
      </c>
      <c r="Y256" s="197">
        <f t="shared" ca="1" si="261"/>
        <v>0</v>
      </c>
      <c r="Z256" s="197">
        <f t="shared" ca="1" si="262"/>
        <v>0</v>
      </c>
      <c r="AA256" s="197">
        <f t="shared" ca="1" si="263"/>
        <v>156</v>
      </c>
      <c r="AB256" s="197">
        <f t="shared" ca="1" si="264"/>
        <v>0</v>
      </c>
    </row>
    <row r="257" spans="2:28" ht="18" customHeight="1">
      <c r="B257" s="583"/>
      <c r="C257" s="586"/>
      <c r="D257" s="588"/>
      <c r="E257" s="590"/>
      <c r="F257" s="617"/>
      <c r="G257" s="590"/>
      <c r="H257" s="207" t="s">
        <v>33</v>
      </c>
      <c r="I257" s="207" t="s">
        <v>176</v>
      </c>
      <c r="J257" s="199">
        <f>'KH Wind Rephase'!H14</f>
        <v>0</v>
      </c>
      <c r="K257" s="199">
        <f>'KH Wind Rephase'!I14</f>
        <v>0</v>
      </c>
      <c r="L257" s="199">
        <f>'KH Wind Rephase'!J14</f>
        <v>0</v>
      </c>
      <c r="M257" s="199">
        <f>'KH Wind Rephase'!K14</f>
        <v>0</v>
      </c>
      <c r="N257" s="199">
        <f>'KH Wind Rephase'!L14</f>
        <v>0</v>
      </c>
      <c r="O257" s="199">
        <f>'KH Wind Rephase'!M14</f>
        <v>0</v>
      </c>
      <c r="P257" s="199">
        <f>'KH Wind Rephase'!N14</f>
        <v>0</v>
      </c>
      <c r="Q257" s="199">
        <f>'KH Wind Rephase'!O14</f>
        <v>0</v>
      </c>
      <c r="R257" s="199">
        <f>'KH Wind Rephase'!P14</f>
        <v>0</v>
      </c>
      <c r="S257" s="199">
        <f>'KH Wind Rephase'!Q14</f>
        <v>104</v>
      </c>
      <c r="T257" s="199">
        <f>'KH Wind Rephase'!R14</f>
        <v>52</v>
      </c>
      <c r="U257" s="199">
        <f>'KH Wind Rephase'!S14</f>
        <v>0</v>
      </c>
      <c r="V257" s="195">
        <f t="shared" si="259"/>
        <v>156</v>
      </c>
      <c r="W257" s="195">
        <f t="shared" ca="1" si="260"/>
        <v>0</v>
      </c>
      <c r="Y257" s="199">
        <f t="shared" ca="1" si="261"/>
        <v>0</v>
      </c>
      <c r="Z257" s="199">
        <f t="shared" ca="1" si="262"/>
        <v>0</v>
      </c>
      <c r="AA257" s="199">
        <f t="shared" ca="1" si="263"/>
        <v>0</v>
      </c>
      <c r="AB257" s="199">
        <f t="shared" ca="1" si="264"/>
        <v>156</v>
      </c>
    </row>
    <row r="258" spans="2:28" ht="18" customHeight="1">
      <c r="B258" s="584"/>
      <c r="C258" s="587"/>
      <c r="D258" s="589"/>
      <c r="E258" s="591"/>
      <c r="F258" s="618"/>
      <c r="G258" s="591"/>
      <c r="H258" s="207" t="s">
        <v>33</v>
      </c>
      <c r="I258" s="207" t="s">
        <v>177</v>
      </c>
      <c r="J258" s="199">
        <f>'KH Wind Actual'!H15</f>
        <v>0</v>
      </c>
      <c r="K258" s="199">
        <f>'KH Wind Actual'!I15</f>
        <v>0</v>
      </c>
      <c r="L258" s="199">
        <f>'KH Wind Actual'!J15</f>
        <v>0</v>
      </c>
      <c r="M258" s="199">
        <f>'KH Wind Actual'!K15</f>
        <v>0</v>
      </c>
      <c r="N258" s="199">
        <f>'KH Wind Actual'!L15</f>
        <v>0</v>
      </c>
      <c r="O258" s="199">
        <f>'KH Wind Actual'!M15</f>
        <v>0</v>
      </c>
      <c r="P258" s="199">
        <f>'KH Wind Actual'!N15</f>
        <v>0</v>
      </c>
      <c r="Q258" s="199">
        <f>'KH Wind Actual'!O15</f>
        <v>0</v>
      </c>
      <c r="R258" s="199">
        <f>'KH Wind Actual'!P15</f>
        <v>0</v>
      </c>
      <c r="S258" s="199">
        <f>'KH Wind Actual'!Q15</f>
        <v>78</v>
      </c>
      <c r="T258" s="199">
        <f>'KH Wind Actual'!R15</f>
        <v>62.400000000000006</v>
      </c>
      <c r="U258" s="199">
        <f>'KH Wind Actual'!S15</f>
        <v>15.600000000000001</v>
      </c>
      <c r="V258" s="195">
        <f t="shared" si="259"/>
        <v>156</v>
      </c>
      <c r="W258" s="195">
        <f t="shared" ca="1" si="260"/>
        <v>0</v>
      </c>
      <c r="Y258" s="199">
        <f t="shared" ca="1" si="261"/>
        <v>0</v>
      </c>
      <c r="Z258" s="199">
        <f t="shared" ca="1" si="262"/>
        <v>0</v>
      </c>
      <c r="AA258" s="199">
        <f t="shared" ca="1" si="263"/>
        <v>0</v>
      </c>
      <c r="AB258" s="199">
        <f t="shared" ca="1" si="264"/>
        <v>156</v>
      </c>
    </row>
    <row r="259" spans="2:28" ht="18" customHeight="1">
      <c r="B259" s="582" t="s">
        <v>187</v>
      </c>
      <c r="C259" s="585" t="s">
        <v>30</v>
      </c>
      <c r="D259" s="585" t="s">
        <v>116</v>
      </c>
      <c r="E259" s="582" t="s">
        <v>33</v>
      </c>
      <c r="F259" s="616" t="s">
        <v>157</v>
      </c>
      <c r="G259" s="582">
        <f>27*5.2</f>
        <v>140.4</v>
      </c>
      <c r="H259" s="206" t="s">
        <v>33</v>
      </c>
      <c r="I259" s="206" t="s">
        <v>175</v>
      </c>
      <c r="J259" s="197">
        <f>'KH Wind Plan'!H15</f>
        <v>0</v>
      </c>
      <c r="K259" s="197">
        <f>'KH Wind Plan'!I15</f>
        <v>0</v>
      </c>
      <c r="L259" s="197">
        <f>'KH Wind Plan'!J15</f>
        <v>0</v>
      </c>
      <c r="M259" s="197">
        <f>'KH Wind Plan'!K15</f>
        <v>0</v>
      </c>
      <c r="N259" s="197">
        <f>'KH Wind Plan'!L15</f>
        <v>0</v>
      </c>
      <c r="O259" s="197">
        <f>'KH Wind Plan'!M15</f>
        <v>0</v>
      </c>
      <c r="P259" s="197">
        <f>'KH Wind Plan'!N15</f>
        <v>0</v>
      </c>
      <c r="Q259" s="197">
        <f>'KH Wind Plan'!O15</f>
        <v>0</v>
      </c>
      <c r="R259" s="197">
        <f>'KH Wind Plan'!P15</f>
        <v>78</v>
      </c>
      <c r="S259" s="197">
        <f>'KH Wind Plan'!Q15</f>
        <v>62.400000000000006</v>
      </c>
      <c r="T259" s="197">
        <f>'KH Wind Plan'!R15</f>
        <v>0</v>
      </c>
      <c r="U259" s="197">
        <f>'KH Wind Plan'!S15</f>
        <v>0</v>
      </c>
      <c r="V259" s="194">
        <f t="shared" si="259"/>
        <v>140.4</v>
      </c>
      <c r="W259" s="194">
        <f t="shared" ca="1" si="260"/>
        <v>0</v>
      </c>
      <c r="Y259" s="197">
        <f t="shared" ca="1" si="261"/>
        <v>0</v>
      </c>
      <c r="Z259" s="197">
        <f t="shared" ca="1" si="262"/>
        <v>0</v>
      </c>
      <c r="AA259" s="197">
        <f t="shared" ca="1" si="263"/>
        <v>78</v>
      </c>
      <c r="AB259" s="197">
        <f t="shared" ca="1" si="264"/>
        <v>62.400000000000006</v>
      </c>
    </row>
    <row r="260" spans="2:28" ht="18" customHeight="1">
      <c r="B260" s="583"/>
      <c r="C260" s="586"/>
      <c r="D260" s="588"/>
      <c r="E260" s="590"/>
      <c r="F260" s="617"/>
      <c r="G260" s="590"/>
      <c r="H260" s="207" t="s">
        <v>33</v>
      </c>
      <c r="I260" s="207" t="s">
        <v>176</v>
      </c>
      <c r="J260" s="199">
        <f>'KH Wind Rephase'!H15</f>
        <v>0</v>
      </c>
      <c r="K260" s="199">
        <f>'KH Wind Rephase'!I15</f>
        <v>0</v>
      </c>
      <c r="L260" s="199">
        <f>'KH Wind Rephase'!J15</f>
        <v>0</v>
      </c>
      <c r="M260" s="199">
        <f>'KH Wind Rephase'!K15</f>
        <v>0</v>
      </c>
      <c r="N260" s="199">
        <f>'KH Wind Rephase'!L15</f>
        <v>0</v>
      </c>
      <c r="O260" s="199">
        <f>'KH Wind Rephase'!M15</f>
        <v>0</v>
      </c>
      <c r="P260" s="199">
        <f>'KH Wind Rephase'!N15</f>
        <v>0</v>
      </c>
      <c r="Q260" s="199">
        <f>'KH Wind Rephase'!O15</f>
        <v>0</v>
      </c>
      <c r="R260" s="199">
        <f>'KH Wind Rephase'!P15</f>
        <v>0</v>
      </c>
      <c r="S260" s="199">
        <f>'KH Wind Rephase'!Q15</f>
        <v>0</v>
      </c>
      <c r="T260" s="199">
        <f>'KH Wind Rephase'!R15</f>
        <v>78</v>
      </c>
      <c r="U260" s="199">
        <f>'KH Wind Rephase'!S15</f>
        <v>62.400000000000006</v>
      </c>
      <c r="V260" s="195">
        <f t="shared" si="259"/>
        <v>140.4</v>
      </c>
      <c r="W260" s="195">
        <f t="shared" ca="1" si="260"/>
        <v>0</v>
      </c>
      <c r="Y260" s="199">
        <f t="shared" ca="1" si="261"/>
        <v>0</v>
      </c>
      <c r="Z260" s="199">
        <f t="shared" ca="1" si="262"/>
        <v>0</v>
      </c>
      <c r="AA260" s="199">
        <f t="shared" ca="1" si="263"/>
        <v>0</v>
      </c>
      <c r="AB260" s="199">
        <f t="shared" ca="1" si="264"/>
        <v>140.4</v>
      </c>
    </row>
    <row r="261" spans="2:28" ht="18" customHeight="1">
      <c r="B261" s="612"/>
      <c r="C261" s="613"/>
      <c r="D261" s="614"/>
      <c r="E261" s="615"/>
      <c r="F261" s="619"/>
      <c r="G261" s="615"/>
      <c r="H261" s="208" t="s">
        <v>33</v>
      </c>
      <c r="I261" s="208" t="s">
        <v>177</v>
      </c>
      <c r="J261" s="201">
        <f>'KH Wind Actual'!H16</f>
        <v>0</v>
      </c>
      <c r="K261" s="201">
        <f>'KH Wind Actual'!I16</f>
        <v>0</v>
      </c>
      <c r="L261" s="201">
        <f>'KH Wind Actual'!J16</f>
        <v>0</v>
      </c>
      <c r="M261" s="201">
        <f>'KH Wind Actual'!K16</f>
        <v>0</v>
      </c>
      <c r="N261" s="201">
        <f>'KH Wind Actual'!L16</f>
        <v>0</v>
      </c>
      <c r="O261" s="201">
        <f>'KH Wind Actual'!M16</f>
        <v>0</v>
      </c>
      <c r="P261" s="201">
        <f>'KH Wind Actual'!N16</f>
        <v>0</v>
      </c>
      <c r="Q261" s="201">
        <f>'KH Wind Actual'!O16</f>
        <v>0</v>
      </c>
      <c r="R261" s="201">
        <f>'KH Wind Actual'!P16</f>
        <v>0</v>
      </c>
      <c r="S261" s="201">
        <f>'KH Wind Actual'!Q16</f>
        <v>0</v>
      </c>
      <c r="T261" s="201">
        <f>'KH Wind Actual'!R16</f>
        <v>78</v>
      </c>
      <c r="U261" s="201">
        <f>'KH Wind Actual'!S16</f>
        <v>62.400000000000006</v>
      </c>
      <c r="V261" s="196">
        <f t="shared" si="259"/>
        <v>140.4</v>
      </c>
      <c r="W261" s="196">
        <f t="shared" ca="1" si="260"/>
        <v>0</v>
      </c>
      <c r="Y261" s="201">
        <f t="shared" ca="1" si="261"/>
        <v>0</v>
      </c>
      <c r="Z261" s="201">
        <f t="shared" ca="1" si="262"/>
        <v>0</v>
      </c>
      <c r="AA261" s="201">
        <f t="shared" ca="1" si="263"/>
        <v>0</v>
      </c>
      <c r="AB261" s="201">
        <f t="shared" ca="1" si="264"/>
        <v>140.4</v>
      </c>
    </row>
    <row r="262" spans="2:28" ht="18" customHeight="1">
      <c r="I262" s="212"/>
    </row>
    <row r="263" spans="2:28" ht="18" customHeight="1">
      <c r="B263" s="603" t="s">
        <v>210</v>
      </c>
      <c r="C263" s="604"/>
      <c r="D263" s="604"/>
      <c r="E263" s="604"/>
      <c r="F263" s="605"/>
      <c r="G263" s="602">
        <f>SUM(G226:G261)</f>
        <v>1128.4000000000001</v>
      </c>
      <c r="H263" s="180"/>
      <c r="I263" s="213" t="s">
        <v>175</v>
      </c>
      <c r="J263" s="111">
        <f>SUM(J264:J266)</f>
        <v>182</v>
      </c>
      <c r="K263" s="111">
        <f t="shared" ref="K263" si="265">SUM(K264:K266)</f>
        <v>182</v>
      </c>
      <c r="L263" s="111">
        <f t="shared" ref="L263" si="266">SUM(L264:L266)</f>
        <v>244.4</v>
      </c>
      <c r="M263" s="111">
        <f t="shared" ref="M263" si="267">SUM(M264:M266)</f>
        <v>93.6</v>
      </c>
      <c r="N263" s="111">
        <f t="shared" ref="N263" si="268">SUM(N264:N266)</f>
        <v>26</v>
      </c>
      <c r="O263" s="111">
        <f t="shared" ref="O263" si="269">SUM(O264:O266)</f>
        <v>26</v>
      </c>
      <c r="P263" s="111">
        <f t="shared" ref="P263" si="270">SUM(P264:P266)</f>
        <v>52</v>
      </c>
      <c r="Q263" s="111">
        <f t="shared" ref="Q263" si="271">SUM(Q264:Q266)</f>
        <v>130</v>
      </c>
      <c r="R263" s="111">
        <f t="shared" ref="R263" si="272">SUM(R264:R266)</f>
        <v>130</v>
      </c>
      <c r="S263" s="111">
        <f t="shared" ref="S263" si="273">SUM(S264:S266)</f>
        <v>62.400000000000006</v>
      </c>
      <c r="T263" s="111">
        <f t="shared" ref="T263" si="274">SUM(T264:T266)</f>
        <v>0</v>
      </c>
      <c r="U263" s="111">
        <f t="shared" ref="U263" si="275">SUM(U264:U266)</f>
        <v>0</v>
      </c>
      <c r="V263" s="111">
        <f t="shared" ref="V263:V274" si="276">SUM(J263:U263)</f>
        <v>1128.4000000000001</v>
      </c>
      <c r="W263" s="111">
        <f t="shared" ref="W263:W274" ca="1" si="277">SUM(OFFSET(J263,0,0,1,$A$1))</f>
        <v>936</v>
      </c>
      <c r="Y263" s="111">
        <f t="shared" ref="Y263:Y274" ca="1" si="278">SUM(OFFSET($J263,0,0,1,$A$2))</f>
        <v>608.4</v>
      </c>
      <c r="Z263" s="111">
        <f t="shared" ref="Z263:Z274" ca="1" si="279">SUM(OFFSET($M263,0,0,1,$A$2))</f>
        <v>145.6</v>
      </c>
      <c r="AA263" s="111">
        <f t="shared" ref="AA263:AA274" ca="1" si="280">SUM(OFFSET($P263,0,0,1,$A$2))</f>
        <v>312</v>
      </c>
      <c r="AB263" s="111">
        <f t="shared" ref="AB263:AB274" ca="1" si="281">SUM(OFFSET($S263,0,0,1,$A$2))</f>
        <v>62.400000000000006</v>
      </c>
    </row>
    <row r="264" spans="2:28" ht="18" customHeight="1">
      <c r="B264" s="606"/>
      <c r="C264" s="607"/>
      <c r="D264" s="607"/>
      <c r="E264" s="607"/>
      <c r="F264" s="608"/>
      <c r="G264" s="602"/>
      <c r="H264" s="188"/>
      <c r="I264" s="214" t="s">
        <v>44</v>
      </c>
      <c r="J264" s="197">
        <f t="shared" ref="J264:U266" si="282">+SUMIFS(J$226:J$261,$I$226:$I$261,$I$263,$H$226:$H$261,$I264)</f>
        <v>0</v>
      </c>
      <c r="K264" s="197">
        <f t="shared" si="282"/>
        <v>0</v>
      </c>
      <c r="L264" s="197">
        <f t="shared" si="282"/>
        <v>0</v>
      </c>
      <c r="M264" s="197">
        <f t="shared" si="282"/>
        <v>72.8</v>
      </c>
      <c r="N264" s="197">
        <f t="shared" si="282"/>
        <v>26</v>
      </c>
      <c r="O264" s="197">
        <f t="shared" si="282"/>
        <v>26</v>
      </c>
      <c r="P264" s="197">
        <f t="shared" si="282"/>
        <v>52</v>
      </c>
      <c r="Q264" s="197">
        <f t="shared" si="282"/>
        <v>26</v>
      </c>
      <c r="R264" s="197">
        <f t="shared" si="282"/>
        <v>0</v>
      </c>
      <c r="S264" s="197">
        <f t="shared" si="282"/>
        <v>0</v>
      </c>
      <c r="T264" s="197">
        <f t="shared" si="282"/>
        <v>0</v>
      </c>
      <c r="U264" s="197">
        <f t="shared" si="282"/>
        <v>0</v>
      </c>
      <c r="V264" s="194">
        <f t="shared" si="276"/>
        <v>202.8</v>
      </c>
      <c r="W264" s="194">
        <f t="shared" ca="1" si="277"/>
        <v>202.8</v>
      </c>
      <c r="Y264" s="197">
        <f t="shared" ca="1" si="278"/>
        <v>0</v>
      </c>
      <c r="Z264" s="197">
        <f t="shared" ca="1" si="279"/>
        <v>124.8</v>
      </c>
      <c r="AA264" s="197">
        <f t="shared" ca="1" si="280"/>
        <v>78</v>
      </c>
      <c r="AB264" s="197">
        <f t="shared" ca="1" si="281"/>
        <v>0</v>
      </c>
    </row>
    <row r="265" spans="2:28" ht="18" customHeight="1">
      <c r="B265" s="606"/>
      <c r="C265" s="607"/>
      <c r="D265" s="607"/>
      <c r="E265" s="607"/>
      <c r="F265" s="608"/>
      <c r="G265" s="602"/>
      <c r="H265" s="189"/>
      <c r="I265" s="215" t="s">
        <v>33</v>
      </c>
      <c r="J265" s="199">
        <f t="shared" si="282"/>
        <v>156</v>
      </c>
      <c r="K265" s="199">
        <f t="shared" si="282"/>
        <v>150.80000000000001</v>
      </c>
      <c r="L265" s="199">
        <f t="shared" si="282"/>
        <v>244.4</v>
      </c>
      <c r="M265" s="199">
        <f t="shared" si="282"/>
        <v>20.8</v>
      </c>
      <c r="N265" s="199">
        <f t="shared" si="282"/>
        <v>0</v>
      </c>
      <c r="O265" s="199">
        <f t="shared" si="282"/>
        <v>0</v>
      </c>
      <c r="P265" s="199">
        <f t="shared" si="282"/>
        <v>0</v>
      </c>
      <c r="Q265" s="199">
        <f t="shared" si="282"/>
        <v>104</v>
      </c>
      <c r="R265" s="199">
        <f t="shared" si="282"/>
        <v>130</v>
      </c>
      <c r="S265" s="199">
        <f t="shared" si="282"/>
        <v>62.400000000000006</v>
      </c>
      <c r="T265" s="199">
        <f t="shared" si="282"/>
        <v>0</v>
      </c>
      <c r="U265" s="199">
        <f t="shared" si="282"/>
        <v>0</v>
      </c>
      <c r="V265" s="195">
        <f t="shared" si="276"/>
        <v>868.4</v>
      </c>
      <c r="W265" s="195">
        <f t="shared" ca="1" si="277"/>
        <v>676</v>
      </c>
      <c r="Y265" s="199">
        <f t="shared" ca="1" si="278"/>
        <v>551.20000000000005</v>
      </c>
      <c r="Z265" s="199">
        <f t="shared" ca="1" si="279"/>
        <v>20.8</v>
      </c>
      <c r="AA265" s="199">
        <f t="shared" ca="1" si="280"/>
        <v>234</v>
      </c>
      <c r="AB265" s="199">
        <f t="shared" ca="1" si="281"/>
        <v>62.400000000000006</v>
      </c>
    </row>
    <row r="266" spans="2:28" ht="18" customHeight="1">
      <c r="B266" s="606"/>
      <c r="C266" s="607"/>
      <c r="D266" s="607"/>
      <c r="E266" s="607"/>
      <c r="F266" s="608"/>
      <c r="G266" s="602"/>
      <c r="H266" s="190"/>
      <c r="I266" s="216" t="s">
        <v>62</v>
      </c>
      <c r="J266" s="201">
        <f t="shared" si="282"/>
        <v>26</v>
      </c>
      <c r="K266" s="201">
        <f t="shared" si="282"/>
        <v>31.200000000000003</v>
      </c>
      <c r="L266" s="201">
        <f t="shared" si="282"/>
        <v>0</v>
      </c>
      <c r="M266" s="201">
        <f t="shared" si="282"/>
        <v>0</v>
      </c>
      <c r="N266" s="201">
        <f t="shared" si="282"/>
        <v>0</v>
      </c>
      <c r="O266" s="201">
        <f t="shared" si="282"/>
        <v>0</v>
      </c>
      <c r="P266" s="201">
        <f t="shared" si="282"/>
        <v>0</v>
      </c>
      <c r="Q266" s="201">
        <f t="shared" si="282"/>
        <v>0</v>
      </c>
      <c r="R266" s="201">
        <f t="shared" si="282"/>
        <v>0</v>
      </c>
      <c r="S266" s="201">
        <f t="shared" si="282"/>
        <v>0</v>
      </c>
      <c r="T266" s="201">
        <f t="shared" si="282"/>
        <v>0</v>
      </c>
      <c r="U266" s="201">
        <f t="shared" si="282"/>
        <v>0</v>
      </c>
      <c r="V266" s="196">
        <f t="shared" si="276"/>
        <v>57.2</v>
      </c>
      <c r="W266" s="196">
        <f t="shared" ca="1" si="277"/>
        <v>57.2</v>
      </c>
      <c r="Y266" s="201">
        <f t="shared" ca="1" si="278"/>
        <v>57.2</v>
      </c>
      <c r="Z266" s="201">
        <f t="shared" ca="1" si="279"/>
        <v>0</v>
      </c>
      <c r="AA266" s="201">
        <f t="shared" ca="1" si="280"/>
        <v>0</v>
      </c>
      <c r="AB266" s="201">
        <f t="shared" ca="1" si="281"/>
        <v>0</v>
      </c>
    </row>
    <row r="267" spans="2:28" ht="18" customHeight="1">
      <c r="B267" s="606"/>
      <c r="C267" s="607"/>
      <c r="D267" s="607"/>
      <c r="E267" s="607"/>
      <c r="F267" s="608"/>
      <c r="G267" s="602"/>
      <c r="H267" s="180"/>
      <c r="I267" s="213" t="s">
        <v>176</v>
      </c>
      <c r="J267" s="111">
        <f t="shared" ref="J267" si="283">SUM(J268:J270)</f>
        <v>104</v>
      </c>
      <c r="K267" s="111">
        <f t="shared" ref="K267" si="284">SUM(K268:K270)</f>
        <v>26</v>
      </c>
      <c r="L267" s="111">
        <f t="shared" ref="L267" si="285">SUM(L268:L270)</f>
        <v>161.19999999999999</v>
      </c>
      <c r="M267" s="111">
        <f t="shared" ref="M267" si="286">SUM(M268:M270)</f>
        <v>78</v>
      </c>
      <c r="N267" s="111">
        <f t="shared" ref="N267" si="287">SUM(N268:N270)</f>
        <v>78</v>
      </c>
      <c r="O267" s="111">
        <f t="shared" ref="O267" si="288">SUM(O268:O270)</f>
        <v>78</v>
      </c>
      <c r="P267" s="111">
        <f t="shared" ref="P267" si="289">SUM(P268:P270)</f>
        <v>104</v>
      </c>
      <c r="Q267" s="111">
        <f t="shared" ref="Q267" si="290">SUM(Q268:Q270)</f>
        <v>104</v>
      </c>
      <c r="R267" s="111">
        <f t="shared" ref="R267" si="291">SUM(R268:R270)</f>
        <v>98.8</v>
      </c>
      <c r="S267" s="111">
        <f t="shared" ref="S267" si="292">SUM(S268:S270)</f>
        <v>104</v>
      </c>
      <c r="T267" s="111">
        <f t="shared" ref="T267" si="293">SUM(T268:T270)</f>
        <v>130</v>
      </c>
      <c r="U267" s="111">
        <f t="shared" ref="U267" si="294">SUM(U268:U270)</f>
        <v>62.400000000000006</v>
      </c>
      <c r="V267" s="111">
        <f t="shared" si="276"/>
        <v>1128.4000000000001</v>
      </c>
      <c r="W267" s="111">
        <f t="shared" ca="1" si="277"/>
        <v>733.2</v>
      </c>
      <c r="Y267" s="111">
        <f t="shared" ca="1" si="278"/>
        <v>291.2</v>
      </c>
      <c r="Z267" s="111">
        <f t="shared" ca="1" si="279"/>
        <v>234</v>
      </c>
      <c r="AA267" s="111">
        <f t="shared" ca="1" si="280"/>
        <v>306.8</v>
      </c>
      <c r="AB267" s="111">
        <f t="shared" ca="1" si="281"/>
        <v>296.39999999999998</v>
      </c>
    </row>
    <row r="268" spans="2:28" ht="18" customHeight="1">
      <c r="B268" s="606"/>
      <c r="C268" s="607"/>
      <c r="D268" s="607"/>
      <c r="E268" s="607"/>
      <c r="F268" s="608"/>
      <c r="G268" s="602"/>
      <c r="H268" s="188"/>
      <c r="I268" s="214" t="s">
        <v>44</v>
      </c>
      <c r="J268" s="197">
        <f t="shared" ref="J268:U270" si="295">+SUMIFS(J$226:J$261,$I$226:$I$261,$I$267,$H$226:$H$261,$I268)</f>
        <v>0</v>
      </c>
      <c r="K268" s="197">
        <f t="shared" si="295"/>
        <v>0</v>
      </c>
      <c r="L268" s="197">
        <f t="shared" si="295"/>
        <v>0</v>
      </c>
      <c r="M268" s="197">
        <f t="shared" si="295"/>
        <v>0</v>
      </c>
      <c r="N268" s="197">
        <f t="shared" si="295"/>
        <v>0</v>
      </c>
      <c r="O268" s="197">
        <f t="shared" si="295"/>
        <v>0</v>
      </c>
      <c r="P268" s="197">
        <f t="shared" si="295"/>
        <v>0</v>
      </c>
      <c r="Q268" s="197">
        <f t="shared" si="295"/>
        <v>104</v>
      </c>
      <c r="R268" s="197">
        <f t="shared" si="295"/>
        <v>98.8</v>
      </c>
      <c r="S268" s="197">
        <f t="shared" si="295"/>
        <v>0</v>
      </c>
      <c r="T268" s="197">
        <f t="shared" si="295"/>
        <v>0</v>
      </c>
      <c r="U268" s="197">
        <f t="shared" si="295"/>
        <v>0</v>
      </c>
      <c r="V268" s="194">
        <f t="shared" si="276"/>
        <v>202.8</v>
      </c>
      <c r="W268" s="194">
        <f t="shared" ca="1" si="277"/>
        <v>104</v>
      </c>
      <c r="Y268" s="197">
        <f t="shared" ca="1" si="278"/>
        <v>0</v>
      </c>
      <c r="Z268" s="197">
        <f t="shared" ca="1" si="279"/>
        <v>0</v>
      </c>
      <c r="AA268" s="197">
        <f t="shared" ca="1" si="280"/>
        <v>202.8</v>
      </c>
      <c r="AB268" s="197">
        <f t="shared" ca="1" si="281"/>
        <v>0</v>
      </c>
    </row>
    <row r="269" spans="2:28" ht="18" customHeight="1">
      <c r="B269" s="606"/>
      <c r="C269" s="607"/>
      <c r="D269" s="607"/>
      <c r="E269" s="607"/>
      <c r="F269" s="608"/>
      <c r="G269" s="602"/>
      <c r="H269" s="189"/>
      <c r="I269" s="215" t="s">
        <v>33</v>
      </c>
      <c r="J269" s="199">
        <f t="shared" si="295"/>
        <v>104</v>
      </c>
      <c r="K269" s="199">
        <f t="shared" si="295"/>
        <v>0</v>
      </c>
      <c r="L269" s="199">
        <f t="shared" si="295"/>
        <v>130</v>
      </c>
      <c r="M269" s="199">
        <f t="shared" si="295"/>
        <v>78</v>
      </c>
      <c r="N269" s="199">
        <f t="shared" si="295"/>
        <v>78</v>
      </c>
      <c r="O269" s="199">
        <f t="shared" si="295"/>
        <v>78</v>
      </c>
      <c r="P269" s="199">
        <f t="shared" si="295"/>
        <v>104</v>
      </c>
      <c r="Q269" s="199">
        <f t="shared" si="295"/>
        <v>0</v>
      </c>
      <c r="R269" s="199">
        <f t="shared" si="295"/>
        <v>0</v>
      </c>
      <c r="S269" s="199">
        <f t="shared" si="295"/>
        <v>104</v>
      </c>
      <c r="T269" s="199">
        <f t="shared" si="295"/>
        <v>130</v>
      </c>
      <c r="U269" s="199">
        <f t="shared" si="295"/>
        <v>62.400000000000006</v>
      </c>
      <c r="V269" s="195">
        <f t="shared" si="276"/>
        <v>868.4</v>
      </c>
      <c r="W269" s="195">
        <f t="shared" ca="1" si="277"/>
        <v>572</v>
      </c>
      <c r="Y269" s="199">
        <f t="shared" ca="1" si="278"/>
        <v>234</v>
      </c>
      <c r="Z269" s="199">
        <f t="shared" ca="1" si="279"/>
        <v>234</v>
      </c>
      <c r="AA269" s="199">
        <f t="shared" ca="1" si="280"/>
        <v>104</v>
      </c>
      <c r="AB269" s="199">
        <f t="shared" ca="1" si="281"/>
        <v>296.39999999999998</v>
      </c>
    </row>
    <row r="270" spans="2:28" ht="18" customHeight="1">
      <c r="B270" s="606"/>
      <c r="C270" s="607"/>
      <c r="D270" s="607"/>
      <c r="E270" s="607"/>
      <c r="F270" s="608"/>
      <c r="G270" s="602"/>
      <c r="H270" s="190"/>
      <c r="I270" s="216" t="s">
        <v>62</v>
      </c>
      <c r="J270" s="201">
        <f t="shared" si="295"/>
        <v>0</v>
      </c>
      <c r="K270" s="201">
        <f t="shared" si="295"/>
        <v>26</v>
      </c>
      <c r="L270" s="201">
        <f t="shared" si="295"/>
        <v>31.200000000000003</v>
      </c>
      <c r="M270" s="201">
        <f t="shared" si="295"/>
        <v>0</v>
      </c>
      <c r="N270" s="201">
        <f t="shared" si="295"/>
        <v>0</v>
      </c>
      <c r="O270" s="201">
        <f t="shared" si="295"/>
        <v>0</v>
      </c>
      <c r="P270" s="201">
        <f t="shared" si="295"/>
        <v>0</v>
      </c>
      <c r="Q270" s="201">
        <f t="shared" si="295"/>
        <v>0</v>
      </c>
      <c r="R270" s="201">
        <f t="shared" si="295"/>
        <v>0</v>
      </c>
      <c r="S270" s="201">
        <f t="shared" si="295"/>
        <v>0</v>
      </c>
      <c r="T270" s="201">
        <f t="shared" si="295"/>
        <v>0</v>
      </c>
      <c r="U270" s="201">
        <f t="shared" si="295"/>
        <v>0</v>
      </c>
      <c r="V270" s="196">
        <f t="shared" si="276"/>
        <v>57.2</v>
      </c>
      <c r="W270" s="196">
        <f t="shared" ca="1" si="277"/>
        <v>57.2</v>
      </c>
      <c r="Y270" s="201">
        <f t="shared" ca="1" si="278"/>
        <v>57.2</v>
      </c>
      <c r="Z270" s="201">
        <f t="shared" ca="1" si="279"/>
        <v>0</v>
      </c>
      <c r="AA270" s="201">
        <f t="shared" ca="1" si="280"/>
        <v>0</v>
      </c>
      <c r="AB270" s="201">
        <f t="shared" ca="1" si="281"/>
        <v>0</v>
      </c>
    </row>
    <row r="271" spans="2:28" ht="18" customHeight="1">
      <c r="B271" s="606"/>
      <c r="C271" s="607"/>
      <c r="D271" s="607"/>
      <c r="E271" s="607"/>
      <c r="F271" s="608"/>
      <c r="G271" s="602"/>
      <c r="H271" s="180"/>
      <c r="I271" s="213" t="s">
        <v>177</v>
      </c>
      <c r="J271" s="111">
        <f t="shared" ref="J271" si="296">SUM(J272:J274)</f>
        <v>104</v>
      </c>
      <c r="K271" s="111">
        <f t="shared" ref="K271" si="297">SUM(K272:K274)</f>
        <v>26</v>
      </c>
      <c r="L271" s="111">
        <f t="shared" ref="L271" si="298">SUM(L272:L274)</f>
        <v>161.19999999999999</v>
      </c>
      <c r="M271" s="111">
        <f t="shared" ref="M271" si="299">SUM(M272:M274)</f>
        <v>67.599999999999994</v>
      </c>
      <c r="N271" s="111">
        <f t="shared" ref="N271" si="300">SUM(N272:N274)</f>
        <v>124.80000000000001</v>
      </c>
      <c r="O271" s="111">
        <f t="shared" ref="O271" si="301">SUM(O272:O274)</f>
        <v>31.200000000000003</v>
      </c>
      <c r="P271" s="111">
        <f t="shared" ref="P271" si="302">SUM(P272:P274)</f>
        <v>78</v>
      </c>
      <c r="Q271" s="111">
        <f t="shared" ref="Q271" si="303">SUM(Q272:Q274)</f>
        <v>83.200000000000017</v>
      </c>
      <c r="R271" s="111">
        <f t="shared" ref="R271" si="304">SUM(R272:R274)</f>
        <v>57.2</v>
      </c>
      <c r="S271" s="111">
        <f t="shared" ref="S271" si="305">SUM(S272:S274)</f>
        <v>114.4</v>
      </c>
      <c r="T271" s="111">
        <f t="shared" ref="T271" si="306">SUM(T272:T274)</f>
        <v>171.60000000000002</v>
      </c>
      <c r="U271" s="111">
        <f t="shared" ref="U271" si="307">SUM(U272:U274)</f>
        <v>109.2</v>
      </c>
      <c r="V271" s="111">
        <f t="shared" si="276"/>
        <v>1128.4000000000001</v>
      </c>
      <c r="W271" s="111">
        <f t="shared" ca="1" si="277"/>
        <v>676</v>
      </c>
      <c r="Y271" s="111">
        <f t="shared" ca="1" si="278"/>
        <v>291.2</v>
      </c>
      <c r="Z271" s="111">
        <f t="shared" ca="1" si="279"/>
        <v>223.60000000000002</v>
      </c>
      <c r="AA271" s="111">
        <f t="shared" ca="1" si="280"/>
        <v>218.40000000000003</v>
      </c>
      <c r="AB271" s="111">
        <f t="shared" ca="1" si="281"/>
        <v>395.2</v>
      </c>
    </row>
    <row r="272" spans="2:28" ht="18" customHeight="1">
      <c r="B272" s="606"/>
      <c r="C272" s="607"/>
      <c r="D272" s="607"/>
      <c r="E272" s="607"/>
      <c r="F272" s="608"/>
      <c r="G272" s="602"/>
      <c r="H272" s="188"/>
      <c r="I272" s="214" t="s">
        <v>44</v>
      </c>
      <c r="J272" s="197">
        <f t="shared" ref="J272:U274" si="308">+SUMIFS(J$226:J$261,$I$226:$I$261,$I$271,$H$226:$H$261,$I272)</f>
        <v>0</v>
      </c>
      <c r="K272" s="197">
        <f t="shared" si="308"/>
        <v>0</v>
      </c>
      <c r="L272" s="197">
        <f t="shared" si="308"/>
        <v>0</v>
      </c>
      <c r="M272" s="197">
        <f t="shared" si="308"/>
        <v>0</v>
      </c>
      <c r="N272" s="197">
        <f t="shared" si="308"/>
        <v>0</v>
      </c>
      <c r="O272" s="197">
        <f t="shared" si="308"/>
        <v>0</v>
      </c>
      <c r="P272" s="197">
        <f t="shared" si="308"/>
        <v>78</v>
      </c>
      <c r="Q272" s="197">
        <f t="shared" si="308"/>
        <v>46.800000000000004</v>
      </c>
      <c r="R272" s="197">
        <f t="shared" si="308"/>
        <v>57.2</v>
      </c>
      <c r="S272" s="197">
        <f t="shared" si="308"/>
        <v>0</v>
      </c>
      <c r="T272" s="197">
        <f t="shared" si="308"/>
        <v>0</v>
      </c>
      <c r="U272" s="197">
        <f t="shared" si="308"/>
        <v>20.8</v>
      </c>
      <c r="V272" s="194">
        <f t="shared" si="276"/>
        <v>202.8</v>
      </c>
      <c r="W272" s="194">
        <f t="shared" ca="1" si="277"/>
        <v>124.80000000000001</v>
      </c>
      <c r="Y272" s="197">
        <f t="shared" ca="1" si="278"/>
        <v>0</v>
      </c>
      <c r="Z272" s="197">
        <f t="shared" ca="1" si="279"/>
        <v>0</v>
      </c>
      <c r="AA272" s="197">
        <f t="shared" ca="1" si="280"/>
        <v>182</v>
      </c>
      <c r="AB272" s="197">
        <f t="shared" ca="1" si="281"/>
        <v>20.8</v>
      </c>
    </row>
    <row r="273" spans="2:28" ht="18" customHeight="1">
      <c r="B273" s="606"/>
      <c r="C273" s="607"/>
      <c r="D273" s="607"/>
      <c r="E273" s="607"/>
      <c r="F273" s="608"/>
      <c r="G273" s="602"/>
      <c r="H273" s="189"/>
      <c r="I273" s="215" t="s">
        <v>33</v>
      </c>
      <c r="J273" s="199">
        <f t="shared" si="308"/>
        <v>104</v>
      </c>
      <c r="K273" s="199">
        <f t="shared" si="308"/>
        <v>0</v>
      </c>
      <c r="L273" s="199">
        <f t="shared" si="308"/>
        <v>130</v>
      </c>
      <c r="M273" s="199">
        <f t="shared" si="308"/>
        <v>67.599999999999994</v>
      </c>
      <c r="N273" s="199">
        <f t="shared" si="308"/>
        <v>124.80000000000001</v>
      </c>
      <c r="O273" s="199">
        <f t="shared" si="308"/>
        <v>31.200000000000003</v>
      </c>
      <c r="P273" s="199">
        <f t="shared" si="308"/>
        <v>0</v>
      </c>
      <c r="Q273" s="199">
        <f t="shared" si="308"/>
        <v>36.400000000000006</v>
      </c>
      <c r="R273" s="199">
        <f t="shared" si="308"/>
        <v>0</v>
      </c>
      <c r="S273" s="199">
        <f t="shared" si="308"/>
        <v>114.4</v>
      </c>
      <c r="T273" s="199">
        <f t="shared" si="308"/>
        <v>171.60000000000002</v>
      </c>
      <c r="U273" s="199">
        <f t="shared" si="308"/>
        <v>88.4</v>
      </c>
      <c r="V273" s="195">
        <f t="shared" si="276"/>
        <v>868.4</v>
      </c>
      <c r="W273" s="195">
        <f t="shared" ca="1" si="277"/>
        <v>494</v>
      </c>
      <c r="Y273" s="199">
        <f t="shared" ca="1" si="278"/>
        <v>234</v>
      </c>
      <c r="Z273" s="199">
        <f t="shared" ca="1" si="279"/>
        <v>223.60000000000002</v>
      </c>
      <c r="AA273" s="199">
        <f t="shared" ca="1" si="280"/>
        <v>36.400000000000006</v>
      </c>
      <c r="AB273" s="199">
        <f t="shared" ca="1" si="281"/>
        <v>374.4</v>
      </c>
    </row>
    <row r="274" spans="2:28" ht="18" customHeight="1">
      <c r="B274" s="609"/>
      <c r="C274" s="610"/>
      <c r="D274" s="610"/>
      <c r="E274" s="610"/>
      <c r="F274" s="611"/>
      <c r="G274" s="602"/>
      <c r="H274" s="190"/>
      <c r="I274" s="216" t="s">
        <v>62</v>
      </c>
      <c r="J274" s="201">
        <f t="shared" si="308"/>
        <v>0</v>
      </c>
      <c r="K274" s="201">
        <f t="shared" si="308"/>
        <v>26</v>
      </c>
      <c r="L274" s="201">
        <f t="shared" si="308"/>
        <v>31.200000000000003</v>
      </c>
      <c r="M274" s="201">
        <f t="shared" si="308"/>
        <v>0</v>
      </c>
      <c r="N274" s="201">
        <f t="shared" si="308"/>
        <v>0</v>
      </c>
      <c r="O274" s="201">
        <f t="shared" si="308"/>
        <v>0</v>
      </c>
      <c r="P274" s="201">
        <f t="shared" si="308"/>
        <v>0</v>
      </c>
      <c r="Q274" s="201">
        <f t="shared" si="308"/>
        <v>0</v>
      </c>
      <c r="R274" s="201">
        <f t="shared" si="308"/>
        <v>0</v>
      </c>
      <c r="S274" s="201">
        <f t="shared" si="308"/>
        <v>0</v>
      </c>
      <c r="T274" s="201">
        <f t="shared" si="308"/>
        <v>0</v>
      </c>
      <c r="U274" s="201">
        <f t="shared" si="308"/>
        <v>0</v>
      </c>
      <c r="V274" s="196">
        <f t="shared" si="276"/>
        <v>57.2</v>
      </c>
      <c r="W274" s="196">
        <f t="shared" ca="1" si="277"/>
        <v>57.2</v>
      </c>
      <c r="Y274" s="201">
        <f t="shared" ca="1" si="278"/>
        <v>57.2</v>
      </c>
      <c r="Z274" s="201">
        <f t="shared" ca="1" si="279"/>
        <v>0</v>
      </c>
      <c r="AA274" s="201">
        <f t="shared" ca="1" si="280"/>
        <v>0</v>
      </c>
      <c r="AB274" s="201">
        <f t="shared" ca="1" si="281"/>
        <v>0</v>
      </c>
    </row>
    <row r="276" spans="2:28" s="171" customFormat="1" ht="18" customHeight="1">
      <c r="B276" s="191" t="s">
        <v>211</v>
      </c>
      <c r="C276" s="112"/>
      <c r="D276" s="112"/>
      <c r="E276" s="112"/>
      <c r="F276" s="112"/>
      <c r="G276" s="112"/>
      <c r="H276" s="112"/>
      <c r="I276" s="211"/>
      <c r="J276" s="192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  <c r="U276" s="192"/>
      <c r="V276" s="193"/>
      <c r="W276" s="193"/>
      <c r="Y276" s="218"/>
      <c r="Z276" s="218"/>
      <c r="AA276" s="218"/>
      <c r="AB276" s="218"/>
    </row>
    <row r="277" spans="2:28" ht="18" customHeight="1">
      <c r="B277" s="582" t="s">
        <v>212</v>
      </c>
      <c r="C277" s="585" t="s">
        <v>30</v>
      </c>
      <c r="D277" s="585" t="s">
        <v>111</v>
      </c>
      <c r="E277" s="582" t="s">
        <v>33</v>
      </c>
      <c r="F277" s="616" t="s">
        <v>213</v>
      </c>
      <c r="G277" s="582">
        <f>19*5.2</f>
        <v>98.8</v>
      </c>
      <c r="H277" s="206" t="s">
        <v>33</v>
      </c>
      <c r="I277" s="206" t="s">
        <v>175</v>
      </c>
      <c r="J277" s="197">
        <f>'KH Wind Plan'!H19</f>
        <v>0</v>
      </c>
      <c r="K277" s="197">
        <f>'KH Wind Plan'!I19</f>
        <v>0</v>
      </c>
      <c r="L277" s="197">
        <f>'KH Wind Plan'!J19</f>
        <v>0</v>
      </c>
      <c r="M277" s="197">
        <f>'KH Wind Plan'!K19</f>
        <v>0</v>
      </c>
      <c r="N277" s="197">
        <f>'KH Wind Plan'!L19</f>
        <v>0</v>
      </c>
      <c r="O277" s="197">
        <f>'KH Wind Plan'!M19</f>
        <v>0</v>
      </c>
      <c r="P277" s="197">
        <f>'KH Wind Plan'!N19</f>
        <v>0</v>
      </c>
      <c r="Q277" s="197">
        <f>'KH Wind Plan'!O19</f>
        <v>0</v>
      </c>
      <c r="R277" s="197">
        <f>'KH Wind Plan'!P19</f>
        <v>0</v>
      </c>
      <c r="S277" s="197">
        <f>'KH Wind Plan'!Q19</f>
        <v>98.800000000000011</v>
      </c>
      <c r="T277" s="197">
        <f>'KH Wind Plan'!R19</f>
        <v>0</v>
      </c>
      <c r="U277" s="197">
        <f>'KH Wind Plan'!S19</f>
        <v>0</v>
      </c>
      <c r="V277" s="194">
        <f t="shared" ref="V277:V282" si="309">SUM(J277:U277)</f>
        <v>98.800000000000011</v>
      </c>
      <c r="W277" s="194">
        <f t="shared" ref="W277:W282" ca="1" si="310">SUM(OFFSET(J277,0,0,1,$A$1))</f>
        <v>0</v>
      </c>
      <c r="Y277" s="197">
        <f t="shared" ref="Y277:Y282" ca="1" si="311">SUM(OFFSET($J277,0,0,1,$A$2))</f>
        <v>0</v>
      </c>
      <c r="Z277" s="197">
        <f t="shared" ref="Z277:Z282" ca="1" si="312">SUM(OFFSET($M277,0,0,1,$A$2))</f>
        <v>0</v>
      </c>
      <c r="AA277" s="197">
        <f t="shared" ref="AA277:AA282" ca="1" si="313">SUM(OFFSET($P277,0,0,1,$A$2))</f>
        <v>0</v>
      </c>
      <c r="AB277" s="197">
        <f t="shared" ref="AB277:AB282" ca="1" si="314">SUM(OFFSET($S277,0,0,1,$A$2))</f>
        <v>98.800000000000011</v>
      </c>
    </row>
    <row r="278" spans="2:28" ht="18" customHeight="1">
      <c r="B278" s="583"/>
      <c r="C278" s="586"/>
      <c r="D278" s="588"/>
      <c r="E278" s="590"/>
      <c r="F278" s="617"/>
      <c r="G278" s="590"/>
      <c r="H278" s="207" t="s">
        <v>33</v>
      </c>
      <c r="I278" s="207" t="s">
        <v>176</v>
      </c>
      <c r="J278" s="199">
        <f>'KH Wind Rephase'!H19</f>
        <v>0</v>
      </c>
      <c r="K278" s="199">
        <f>'KH Wind Rephase'!I19</f>
        <v>0</v>
      </c>
      <c r="L278" s="199">
        <f>'KH Wind Rephase'!J19</f>
        <v>0</v>
      </c>
      <c r="M278" s="199">
        <f>'KH Wind Rephase'!K19</f>
        <v>0</v>
      </c>
      <c r="N278" s="199">
        <f>'KH Wind Rephase'!L19</f>
        <v>0</v>
      </c>
      <c r="O278" s="199">
        <f>'KH Wind Rephase'!M19</f>
        <v>0</v>
      </c>
      <c r="P278" s="199">
        <f>'KH Wind Rephase'!N19</f>
        <v>0</v>
      </c>
      <c r="Q278" s="199">
        <f>'KH Wind Rephase'!O19</f>
        <v>0</v>
      </c>
      <c r="R278" s="199">
        <f>'KH Wind Rephase'!P19</f>
        <v>0</v>
      </c>
      <c r="S278" s="199">
        <f>'KH Wind Rephase'!Q19</f>
        <v>98.800000000000011</v>
      </c>
      <c r="T278" s="199">
        <f>'KH Wind Rephase'!R19</f>
        <v>0</v>
      </c>
      <c r="U278" s="199">
        <f>'KH Wind Rephase'!S19</f>
        <v>0</v>
      </c>
      <c r="V278" s="195">
        <f t="shared" si="309"/>
        <v>98.800000000000011</v>
      </c>
      <c r="W278" s="195">
        <f t="shared" ca="1" si="310"/>
        <v>0</v>
      </c>
      <c r="Y278" s="199">
        <f t="shared" ca="1" si="311"/>
        <v>0</v>
      </c>
      <c r="Z278" s="199">
        <f t="shared" ca="1" si="312"/>
        <v>0</v>
      </c>
      <c r="AA278" s="199">
        <f t="shared" ca="1" si="313"/>
        <v>0</v>
      </c>
      <c r="AB278" s="199">
        <f t="shared" ca="1" si="314"/>
        <v>98.800000000000011</v>
      </c>
    </row>
    <row r="279" spans="2:28" ht="18" customHeight="1">
      <c r="B279" s="584"/>
      <c r="C279" s="587"/>
      <c r="D279" s="589"/>
      <c r="E279" s="591"/>
      <c r="F279" s="618"/>
      <c r="G279" s="591"/>
      <c r="H279" s="207" t="s">
        <v>33</v>
      </c>
      <c r="I279" s="207" t="s">
        <v>177</v>
      </c>
      <c r="J279" s="199">
        <f>'KH Wind Actual'!H23</f>
        <v>0</v>
      </c>
      <c r="K279" s="199">
        <f>'KH Wind Actual'!I23</f>
        <v>0</v>
      </c>
      <c r="L279" s="199">
        <f>'KH Wind Actual'!J23</f>
        <v>0</v>
      </c>
      <c r="M279" s="199">
        <f>'KH Wind Actual'!K23</f>
        <v>0</v>
      </c>
      <c r="N279" s="199">
        <f>'KH Wind Actual'!L23</f>
        <v>0</v>
      </c>
      <c r="O279" s="199">
        <f>'KH Wind Actual'!M23</f>
        <v>0</v>
      </c>
      <c r="P279" s="199">
        <f>'KH Wind Actual'!N23</f>
        <v>0</v>
      </c>
      <c r="Q279" s="199">
        <f>'KH Wind Actual'!O23</f>
        <v>0</v>
      </c>
      <c r="R279" s="199">
        <f>'KH Wind Actual'!P23</f>
        <v>0</v>
      </c>
      <c r="S279" s="199">
        <f>'KH Wind Actual'!Q23</f>
        <v>10.4</v>
      </c>
      <c r="T279" s="199">
        <f>'KH Wind Actual'!R23</f>
        <v>15.600000000000001</v>
      </c>
      <c r="U279" s="199">
        <f>'KH Wind Actual'!S23</f>
        <v>72.800000000000011</v>
      </c>
      <c r="V279" s="195">
        <f t="shared" si="309"/>
        <v>98.800000000000011</v>
      </c>
      <c r="W279" s="195">
        <f t="shared" ca="1" si="310"/>
        <v>0</v>
      </c>
      <c r="Y279" s="199">
        <f t="shared" ca="1" si="311"/>
        <v>0</v>
      </c>
      <c r="Z279" s="199">
        <f t="shared" ca="1" si="312"/>
        <v>0</v>
      </c>
      <c r="AA279" s="199">
        <f t="shared" ca="1" si="313"/>
        <v>0</v>
      </c>
      <c r="AB279" s="199">
        <f t="shared" ca="1" si="314"/>
        <v>98.800000000000011</v>
      </c>
    </row>
    <row r="280" spans="2:28" ht="18" customHeight="1">
      <c r="B280" s="582" t="s">
        <v>188</v>
      </c>
      <c r="C280" s="585" t="s">
        <v>30</v>
      </c>
      <c r="D280" s="585" t="s">
        <v>116</v>
      </c>
      <c r="E280" s="582" t="s">
        <v>33</v>
      </c>
      <c r="F280" s="616" t="s">
        <v>159</v>
      </c>
      <c r="G280" s="582">
        <f>60*5.2</f>
        <v>312</v>
      </c>
      <c r="H280" s="206" t="s">
        <v>33</v>
      </c>
      <c r="I280" s="206" t="s">
        <v>175</v>
      </c>
      <c r="J280" s="197">
        <f>'KH Wind Plan'!H22</f>
        <v>0</v>
      </c>
      <c r="K280" s="197">
        <f>'KH Wind Plan'!I22</f>
        <v>0</v>
      </c>
      <c r="L280" s="197">
        <f>'KH Wind Plan'!J22</f>
        <v>0</v>
      </c>
      <c r="M280" s="197">
        <f>'KH Wind Plan'!K22</f>
        <v>0</v>
      </c>
      <c r="N280" s="197">
        <f>'KH Wind Plan'!L22</f>
        <v>0</v>
      </c>
      <c r="O280" s="197">
        <f>'KH Wind Plan'!M22</f>
        <v>0</v>
      </c>
      <c r="P280" s="197">
        <f>'KH Wind Plan'!N22</f>
        <v>0</v>
      </c>
      <c r="Q280" s="197">
        <f>'KH Wind Plan'!O22</f>
        <v>0</v>
      </c>
      <c r="R280" s="197">
        <f>'KH Wind Plan'!P22</f>
        <v>0</v>
      </c>
      <c r="S280" s="197">
        <f>'KH Wind Plan'!Q22</f>
        <v>41.6</v>
      </c>
      <c r="T280" s="197">
        <f>'KH Wind Plan'!R22</f>
        <v>156</v>
      </c>
      <c r="U280" s="197">
        <f>'KH Wind Plan'!S22</f>
        <v>114.4</v>
      </c>
      <c r="V280" s="194">
        <f t="shared" si="309"/>
        <v>312</v>
      </c>
      <c r="W280" s="194">
        <f t="shared" ca="1" si="310"/>
        <v>0</v>
      </c>
      <c r="Y280" s="197">
        <f t="shared" ca="1" si="311"/>
        <v>0</v>
      </c>
      <c r="Z280" s="197">
        <f t="shared" ca="1" si="312"/>
        <v>0</v>
      </c>
      <c r="AA280" s="197">
        <f t="shared" ca="1" si="313"/>
        <v>0</v>
      </c>
      <c r="AB280" s="197">
        <f t="shared" ca="1" si="314"/>
        <v>312</v>
      </c>
    </row>
    <row r="281" spans="2:28" ht="18" customHeight="1">
      <c r="B281" s="583"/>
      <c r="C281" s="586"/>
      <c r="D281" s="588"/>
      <c r="E281" s="590"/>
      <c r="F281" s="617"/>
      <c r="G281" s="590"/>
      <c r="H281" s="207" t="s">
        <v>33</v>
      </c>
      <c r="I281" s="207" t="s">
        <v>176</v>
      </c>
      <c r="J281" s="199">
        <f>'KH Wind Rephase'!H22</f>
        <v>0</v>
      </c>
      <c r="K281" s="199">
        <f>'KH Wind Rephase'!I22</f>
        <v>0</v>
      </c>
      <c r="L281" s="199">
        <f>'KH Wind Rephase'!J22</f>
        <v>0</v>
      </c>
      <c r="M281" s="199">
        <f>'KH Wind Rephase'!K22</f>
        <v>0</v>
      </c>
      <c r="N281" s="199">
        <f>'KH Wind Rephase'!L22</f>
        <v>0</v>
      </c>
      <c r="O281" s="199">
        <f>'KH Wind Rephase'!M22</f>
        <v>0</v>
      </c>
      <c r="P281" s="199">
        <f>'KH Wind Rephase'!N22</f>
        <v>0</v>
      </c>
      <c r="Q281" s="199">
        <f>'KH Wind Rephase'!O22</f>
        <v>0</v>
      </c>
      <c r="R281" s="199">
        <f>'KH Wind Rephase'!P22</f>
        <v>0</v>
      </c>
      <c r="S281" s="199">
        <f>'KH Wind Rephase'!Q22</f>
        <v>41.6</v>
      </c>
      <c r="T281" s="199">
        <f>'KH Wind Rephase'!R22</f>
        <v>156</v>
      </c>
      <c r="U281" s="199">
        <f>'KH Wind Rephase'!S22</f>
        <v>114.4</v>
      </c>
      <c r="V281" s="195">
        <f t="shared" si="309"/>
        <v>312</v>
      </c>
      <c r="W281" s="195">
        <f t="shared" ca="1" si="310"/>
        <v>0</v>
      </c>
      <c r="Y281" s="199">
        <f t="shared" ca="1" si="311"/>
        <v>0</v>
      </c>
      <c r="Z281" s="199">
        <f t="shared" ca="1" si="312"/>
        <v>0</v>
      </c>
      <c r="AA281" s="199">
        <f t="shared" ca="1" si="313"/>
        <v>0</v>
      </c>
      <c r="AB281" s="199">
        <f t="shared" ca="1" si="314"/>
        <v>312</v>
      </c>
    </row>
    <row r="282" spans="2:28" ht="18" customHeight="1">
      <c r="B282" s="612"/>
      <c r="C282" s="613"/>
      <c r="D282" s="614"/>
      <c r="E282" s="615"/>
      <c r="F282" s="619"/>
      <c r="G282" s="615"/>
      <c r="H282" s="208" t="s">
        <v>33</v>
      </c>
      <c r="I282" s="208" t="s">
        <v>177</v>
      </c>
      <c r="J282" s="201">
        <f>'KH Wind Actual'!H26</f>
        <v>0</v>
      </c>
      <c r="K282" s="201">
        <f>'KH Wind Actual'!I26</f>
        <v>0</v>
      </c>
      <c r="L282" s="201">
        <f>'KH Wind Actual'!J26</f>
        <v>0</v>
      </c>
      <c r="M282" s="201">
        <f>'KH Wind Actual'!K26</f>
        <v>0</v>
      </c>
      <c r="N282" s="201">
        <f>'KH Wind Actual'!L26</f>
        <v>0</v>
      </c>
      <c r="O282" s="201">
        <f>'KH Wind Actual'!M26</f>
        <v>0</v>
      </c>
      <c r="P282" s="201">
        <f>'KH Wind Actual'!N26</f>
        <v>0</v>
      </c>
      <c r="Q282" s="201">
        <f>'KH Wind Actual'!O26</f>
        <v>0</v>
      </c>
      <c r="R282" s="201">
        <f>'KH Wind Actual'!P26</f>
        <v>0</v>
      </c>
      <c r="S282" s="201">
        <f>'KH Wind Actual'!Q26</f>
        <v>36.4</v>
      </c>
      <c r="T282" s="201">
        <f>'KH Wind Actual'!R26</f>
        <v>135.20000000000002</v>
      </c>
      <c r="U282" s="201">
        <f>'KH Wind Actual'!S26</f>
        <v>140.4</v>
      </c>
      <c r="V282" s="196">
        <f t="shared" si="309"/>
        <v>312</v>
      </c>
      <c r="W282" s="196">
        <f t="shared" ca="1" si="310"/>
        <v>0</v>
      </c>
      <c r="Y282" s="201">
        <f t="shared" ca="1" si="311"/>
        <v>0</v>
      </c>
      <c r="Z282" s="201">
        <f t="shared" ca="1" si="312"/>
        <v>0</v>
      </c>
      <c r="AA282" s="201">
        <f t="shared" ca="1" si="313"/>
        <v>0</v>
      </c>
      <c r="AB282" s="201">
        <f t="shared" ca="1" si="314"/>
        <v>312</v>
      </c>
    </row>
    <row r="283" spans="2:28" ht="18" customHeight="1">
      <c r="B283" s="582">
        <v>13</v>
      </c>
      <c r="C283" s="585" t="s">
        <v>30</v>
      </c>
      <c r="D283" s="585" t="s">
        <v>186</v>
      </c>
      <c r="E283" s="582" t="s">
        <v>33</v>
      </c>
      <c r="F283" s="616" t="s">
        <v>35</v>
      </c>
      <c r="G283" s="582">
        <f>2*5.2</f>
        <v>10.4</v>
      </c>
      <c r="H283" s="206" t="s">
        <v>33</v>
      </c>
      <c r="I283" s="206" t="s">
        <v>175</v>
      </c>
      <c r="J283" s="197">
        <f>'KH Wind Plan'!H23</f>
        <v>0</v>
      </c>
      <c r="K283" s="197">
        <f>'KH Wind Plan'!I23</f>
        <v>0</v>
      </c>
      <c r="L283" s="197">
        <f>'KH Wind Plan'!J23</f>
        <v>0</v>
      </c>
      <c r="M283" s="197">
        <f>'KH Wind Plan'!K23</f>
        <v>0</v>
      </c>
      <c r="N283" s="197">
        <f>'KH Wind Plan'!L23</f>
        <v>0</v>
      </c>
      <c r="O283" s="197">
        <f>'KH Wind Plan'!M23</f>
        <v>0</v>
      </c>
      <c r="P283" s="197">
        <f>'KH Wind Plan'!N23</f>
        <v>0</v>
      </c>
      <c r="Q283" s="197">
        <f>'KH Wind Plan'!O23</f>
        <v>0</v>
      </c>
      <c r="R283" s="197">
        <f>'KH Wind Plan'!P23</f>
        <v>10.4</v>
      </c>
      <c r="S283" s="197">
        <f>'KH Wind Plan'!Q23</f>
        <v>0</v>
      </c>
      <c r="T283" s="197">
        <f>'KH Wind Plan'!R23</f>
        <v>0</v>
      </c>
      <c r="U283" s="197">
        <f>'KH Wind Plan'!S23</f>
        <v>0</v>
      </c>
      <c r="V283" s="194">
        <f>SUM(J283:U283)</f>
        <v>10.4</v>
      </c>
      <c r="W283" s="194">
        <f ca="1">SUM(OFFSET(J283,0,0,1,$A$1))</f>
        <v>0</v>
      </c>
      <c r="Y283" s="197">
        <f ca="1">SUM(OFFSET($J283,0,0,1,$A$2))</f>
        <v>0</v>
      </c>
      <c r="Z283" s="197">
        <f ca="1">SUM(OFFSET($M283,0,0,1,$A$2))</f>
        <v>0</v>
      </c>
      <c r="AA283" s="197">
        <f ca="1">SUM(OFFSET($P283,0,0,1,$A$2))</f>
        <v>10.4</v>
      </c>
      <c r="AB283" s="197">
        <f ca="1">SUM(OFFSET($S283,0,0,1,$A$2))</f>
        <v>0</v>
      </c>
    </row>
    <row r="284" spans="2:28" ht="18" customHeight="1">
      <c r="B284" s="583"/>
      <c r="C284" s="586"/>
      <c r="D284" s="588"/>
      <c r="E284" s="590"/>
      <c r="F284" s="617"/>
      <c r="G284" s="590"/>
      <c r="H284" s="207" t="s">
        <v>33</v>
      </c>
      <c r="I284" s="207" t="s">
        <v>176</v>
      </c>
      <c r="J284" s="199">
        <f>'KH Wind Rephase'!H23</f>
        <v>0</v>
      </c>
      <c r="K284" s="199">
        <f>'KH Wind Rephase'!I23</f>
        <v>0</v>
      </c>
      <c r="L284" s="237">
        <f>'KH Wind Rephase'!J23</f>
        <v>0</v>
      </c>
      <c r="M284" s="199">
        <f>'KH Wind Rephase'!K23</f>
        <v>0</v>
      </c>
      <c r="N284" s="199">
        <f>'KH Wind Rephase'!L23</f>
        <v>0</v>
      </c>
      <c r="O284" s="199">
        <f>'KH Wind Rephase'!M23</f>
        <v>0</v>
      </c>
      <c r="P284" s="199">
        <f>'KH Wind Rephase'!N23</f>
        <v>0</v>
      </c>
      <c r="Q284" s="199">
        <f>'KH Wind Rephase'!O23</f>
        <v>0</v>
      </c>
      <c r="R284" s="199">
        <f>'KH Wind Rephase'!P23</f>
        <v>10.4</v>
      </c>
      <c r="S284" s="199">
        <f>'KH Wind Rephase'!Q23</f>
        <v>0</v>
      </c>
      <c r="T284" s="199">
        <f>'KH Wind Rephase'!R23</f>
        <v>0</v>
      </c>
      <c r="U284" s="199">
        <f>'KH Wind Rephase'!S23</f>
        <v>0</v>
      </c>
      <c r="V284" s="195">
        <f>SUM(J284:U284)</f>
        <v>10.4</v>
      </c>
      <c r="W284" s="195">
        <f ca="1">SUM(OFFSET(J284,0,0,1,$A$1))</f>
        <v>0</v>
      </c>
      <c r="Y284" s="199">
        <f ca="1">SUM(OFFSET($J284,0,0,1,$A$2))</f>
        <v>0</v>
      </c>
      <c r="Z284" s="199">
        <f ca="1">SUM(OFFSET($M284,0,0,1,$A$2))</f>
        <v>0</v>
      </c>
      <c r="AA284" s="199">
        <f ca="1">SUM(OFFSET($P284,0,0,1,$A$2))</f>
        <v>10.4</v>
      </c>
      <c r="AB284" s="199">
        <f ca="1">SUM(OFFSET($S284,0,0,1,$A$2))</f>
        <v>0</v>
      </c>
    </row>
    <row r="285" spans="2:28" ht="18" customHeight="1">
      <c r="B285" s="612"/>
      <c r="C285" s="613"/>
      <c r="D285" s="614"/>
      <c r="E285" s="615"/>
      <c r="F285" s="619"/>
      <c r="G285" s="615"/>
      <c r="H285" s="208" t="s">
        <v>33</v>
      </c>
      <c r="I285" s="208" t="s">
        <v>177</v>
      </c>
      <c r="J285" s="201">
        <f>'KH Wind Actual'!H27</f>
        <v>0</v>
      </c>
      <c r="K285" s="201">
        <f>'KH Wind Actual'!I27</f>
        <v>0</v>
      </c>
      <c r="L285" s="201">
        <f>'KH Wind Actual'!J27</f>
        <v>0</v>
      </c>
      <c r="M285" s="201">
        <f>'KH Wind Actual'!K27</f>
        <v>0</v>
      </c>
      <c r="N285" s="201">
        <f>'KH Wind Actual'!L27</f>
        <v>0</v>
      </c>
      <c r="O285" s="201">
        <f>'KH Wind Actual'!M27</f>
        <v>0</v>
      </c>
      <c r="P285" s="201">
        <f>'KH Wind Actual'!N27</f>
        <v>0</v>
      </c>
      <c r="Q285" s="201">
        <f>'KH Wind Actual'!O27</f>
        <v>0</v>
      </c>
      <c r="R285" s="201">
        <f>'KH Wind Actual'!P27</f>
        <v>0</v>
      </c>
      <c r="S285" s="201">
        <f>'KH Wind Actual'!Q27</f>
        <v>10.4</v>
      </c>
      <c r="T285" s="201">
        <f>'KH Wind Actual'!R27</f>
        <v>0</v>
      </c>
      <c r="U285" s="201">
        <f>'KH Wind Actual'!S27</f>
        <v>0</v>
      </c>
      <c r="V285" s="196">
        <f>SUM(J285:U285)</f>
        <v>10.4</v>
      </c>
      <c r="W285" s="196">
        <f ca="1">SUM(OFFSET(J285,0,0,1,$A$1))</f>
        <v>0</v>
      </c>
      <c r="Y285" s="201">
        <f ca="1">SUM(OFFSET($J285,0,0,1,$A$2))</f>
        <v>0</v>
      </c>
      <c r="Z285" s="201">
        <f ca="1">SUM(OFFSET($M285,0,0,1,$A$2))</f>
        <v>0</v>
      </c>
      <c r="AA285" s="201">
        <f ca="1">SUM(OFFSET($P285,0,0,1,$A$2))</f>
        <v>0</v>
      </c>
      <c r="AB285" s="201">
        <f ca="1">SUM(OFFSET($S285,0,0,1,$A$2))</f>
        <v>10.4</v>
      </c>
    </row>
    <row r="287" spans="2:28" ht="18" customHeight="1">
      <c r="B287" s="603" t="s">
        <v>214</v>
      </c>
      <c r="C287" s="604"/>
      <c r="D287" s="604"/>
      <c r="E287" s="604"/>
      <c r="F287" s="605"/>
      <c r="G287" s="602">
        <f>SUM(G277:G285)</f>
        <v>421.2</v>
      </c>
      <c r="H287" s="180"/>
      <c r="I287" s="213" t="s">
        <v>175</v>
      </c>
      <c r="J287" s="111">
        <f>SUM(J288:J290)</f>
        <v>0</v>
      </c>
      <c r="K287" s="111">
        <f t="shared" ref="K287:U287" si="315">SUM(K288:K290)</f>
        <v>0</v>
      </c>
      <c r="L287" s="111">
        <f t="shared" si="315"/>
        <v>0</v>
      </c>
      <c r="M287" s="111">
        <f t="shared" si="315"/>
        <v>0</v>
      </c>
      <c r="N287" s="111">
        <f t="shared" si="315"/>
        <v>0</v>
      </c>
      <c r="O287" s="111">
        <f t="shared" si="315"/>
        <v>0</v>
      </c>
      <c r="P287" s="111">
        <f t="shared" si="315"/>
        <v>0</v>
      </c>
      <c r="Q287" s="111">
        <f t="shared" si="315"/>
        <v>0</v>
      </c>
      <c r="R287" s="111">
        <f t="shared" si="315"/>
        <v>10.4</v>
      </c>
      <c r="S287" s="111">
        <f t="shared" si="315"/>
        <v>140.4</v>
      </c>
      <c r="T287" s="111">
        <f t="shared" si="315"/>
        <v>156</v>
      </c>
      <c r="U287" s="111">
        <f t="shared" si="315"/>
        <v>114.4</v>
      </c>
      <c r="V287" s="111">
        <f t="shared" ref="V287:V298" si="316">SUM(J287:U287)</f>
        <v>421.20000000000005</v>
      </c>
      <c r="W287" s="111">
        <f t="shared" ref="W287:W298" ca="1" si="317">SUM(OFFSET(J287,0,0,1,$A$1))</f>
        <v>0</v>
      </c>
      <c r="Y287" s="111">
        <f t="shared" ref="Y287:Y298" ca="1" si="318">SUM(OFFSET($J287,0,0,1,$A$2))</f>
        <v>0</v>
      </c>
      <c r="Z287" s="111">
        <f t="shared" ref="Z287:Z298" ca="1" si="319">SUM(OFFSET($M287,0,0,1,$A$2))</f>
        <v>0</v>
      </c>
      <c r="AA287" s="111">
        <f t="shared" ref="AA287:AA298" ca="1" si="320">SUM(OFFSET($P287,0,0,1,$A$2))</f>
        <v>10.4</v>
      </c>
      <c r="AB287" s="111">
        <f t="shared" ref="AB287:AB298" ca="1" si="321">SUM(OFFSET($S287,0,0,1,$A$2))</f>
        <v>410.79999999999995</v>
      </c>
    </row>
    <row r="288" spans="2:28" ht="18" customHeight="1">
      <c r="B288" s="606"/>
      <c r="C288" s="607"/>
      <c r="D288" s="607"/>
      <c r="E288" s="607"/>
      <c r="F288" s="608"/>
      <c r="G288" s="602"/>
      <c r="H288" s="188"/>
      <c r="I288" s="214" t="s">
        <v>44</v>
      </c>
      <c r="J288" s="197">
        <f t="shared" ref="J288:U288" si="322">+SUMIFS(J$277:J$285,$I$277:$I$285,$I$287,$H$277:$H$285,$I288)</f>
        <v>0</v>
      </c>
      <c r="K288" s="197">
        <f t="shared" si="322"/>
        <v>0</v>
      </c>
      <c r="L288" s="197">
        <f t="shared" si="322"/>
        <v>0</v>
      </c>
      <c r="M288" s="197">
        <f t="shared" si="322"/>
        <v>0</v>
      </c>
      <c r="N288" s="197">
        <f t="shared" si="322"/>
        <v>0</v>
      </c>
      <c r="O288" s="197">
        <f t="shared" si="322"/>
        <v>0</v>
      </c>
      <c r="P288" s="197">
        <f t="shared" si="322"/>
        <v>0</v>
      </c>
      <c r="Q288" s="197">
        <f t="shared" si="322"/>
        <v>0</v>
      </c>
      <c r="R288" s="197">
        <f t="shared" si="322"/>
        <v>0</v>
      </c>
      <c r="S288" s="197">
        <f t="shared" si="322"/>
        <v>0</v>
      </c>
      <c r="T288" s="197">
        <f t="shared" si="322"/>
        <v>0</v>
      </c>
      <c r="U288" s="197">
        <f t="shared" si="322"/>
        <v>0</v>
      </c>
      <c r="V288" s="194">
        <f t="shared" si="316"/>
        <v>0</v>
      </c>
      <c r="W288" s="194">
        <f t="shared" ca="1" si="317"/>
        <v>0</v>
      </c>
      <c r="Y288" s="197">
        <f t="shared" ca="1" si="318"/>
        <v>0</v>
      </c>
      <c r="Z288" s="197">
        <f t="shared" ca="1" si="319"/>
        <v>0</v>
      </c>
      <c r="AA288" s="197">
        <f t="shared" ca="1" si="320"/>
        <v>0</v>
      </c>
      <c r="AB288" s="197">
        <f t="shared" ca="1" si="321"/>
        <v>0</v>
      </c>
    </row>
    <row r="289" spans="2:28" ht="18" customHeight="1">
      <c r="B289" s="606"/>
      <c r="C289" s="607"/>
      <c r="D289" s="607"/>
      <c r="E289" s="607"/>
      <c r="F289" s="608"/>
      <c r="G289" s="602"/>
      <c r="H289" s="189"/>
      <c r="I289" s="215" t="s">
        <v>33</v>
      </c>
      <c r="J289" s="199">
        <f t="shared" ref="J289:J290" si="323">+SUMIFS(J$277:J$285,$I$277:$I$285,$I$287,$H$277:$H$285,$I289)</f>
        <v>0</v>
      </c>
      <c r="K289" s="199">
        <f t="shared" ref="K289:U290" si="324">+SUMIFS(K$277:K$285,$I$277:$I$285,$I$287,$H$277:$H$285,$I289)</f>
        <v>0</v>
      </c>
      <c r="L289" s="199">
        <f t="shared" si="324"/>
        <v>0</v>
      </c>
      <c r="M289" s="199">
        <f t="shared" si="324"/>
        <v>0</v>
      </c>
      <c r="N289" s="199">
        <f t="shared" si="324"/>
        <v>0</v>
      </c>
      <c r="O289" s="199">
        <f t="shared" si="324"/>
        <v>0</v>
      </c>
      <c r="P289" s="199">
        <f t="shared" si="324"/>
        <v>0</v>
      </c>
      <c r="Q289" s="199">
        <f t="shared" si="324"/>
        <v>0</v>
      </c>
      <c r="R289" s="199">
        <f t="shared" si="324"/>
        <v>10.4</v>
      </c>
      <c r="S289" s="199">
        <f t="shared" si="324"/>
        <v>140.4</v>
      </c>
      <c r="T289" s="199">
        <f t="shared" si="324"/>
        <v>156</v>
      </c>
      <c r="U289" s="199">
        <f t="shared" si="324"/>
        <v>114.4</v>
      </c>
      <c r="V289" s="195">
        <f t="shared" si="316"/>
        <v>421.20000000000005</v>
      </c>
      <c r="W289" s="195">
        <f t="shared" ca="1" si="317"/>
        <v>0</v>
      </c>
      <c r="Y289" s="199">
        <f t="shared" ca="1" si="318"/>
        <v>0</v>
      </c>
      <c r="Z289" s="199">
        <f t="shared" ca="1" si="319"/>
        <v>0</v>
      </c>
      <c r="AA289" s="199">
        <f t="shared" ca="1" si="320"/>
        <v>10.4</v>
      </c>
      <c r="AB289" s="199">
        <f t="shared" ca="1" si="321"/>
        <v>410.79999999999995</v>
      </c>
    </row>
    <row r="290" spans="2:28" ht="18" customHeight="1">
      <c r="B290" s="606"/>
      <c r="C290" s="607"/>
      <c r="D290" s="607"/>
      <c r="E290" s="607"/>
      <c r="F290" s="608"/>
      <c r="G290" s="602"/>
      <c r="H290" s="190"/>
      <c r="I290" s="216" t="s">
        <v>62</v>
      </c>
      <c r="J290" s="201">
        <f t="shared" si="323"/>
        <v>0</v>
      </c>
      <c r="K290" s="201">
        <f t="shared" si="324"/>
        <v>0</v>
      </c>
      <c r="L290" s="201">
        <f t="shared" si="324"/>
        <v>0</v>
      </c>
      <c r="M290" s="201">
        <f t="shared" si="324"/>
        <v>0</v>
      </c>
      <c r="N290" s="201">
        <f t="shared" si="324"/>
        <v>0</v>
      </c>
      <c r="O290" s="201">
        <f t="shared" si="324"/>
        <v>0</v>
      </c>
      <c r="P290" s="201">
        <f t="shared" si="324"/>
        <v>0</v>
      </c>
      <c r="Q290" s="201">
        <f t="shared" si="324"/>
        <v>0</v>
      </c>
      <c r="R290" s="201">
        <f t="shared" si="324"/>
        <v>0</v>
      </c>
      <c r="S290" s="201">
        <f t="shared" si="324"/>
        <v>0</v>
      </c>
      <c r="T290" s="201">
        <f t="shared" si="324"/>
        <v>0</v>
      </c>
      <c r="U290" s="201">
        <f t="shared" si="324"/>
        <v>0</v>
      </c>
      <c r="V290" s="196">
        <f t="shared" si="316"/>
        <v>0</v>
      </c>
      <c r="W290" s="196">
        <f t="shared" ca="1" si="317"/>
        <v>0</v>
      </c>
      <c r="Y290" s="201">
        <f t="shared" ca="1" si="318"/>
        <v>0</v>
      </c>
      <c r="Z290" s="201">
        <f t="shared" ca="1" si="319"/>
        <v>0</v>
      </c>
      <c r="AA290" s="201">
        <f t="shared" ca="1" si="320"/>
        <v>0</v>
      </c>
      <c r="AB290" s="201">
        <f t="shared" ca="1" si="321"/>
        <v>0</v>
      </c>
    </row>
    <row r="291" spans="2:28" ht="18" customHeight="1">
      <c r="B291" s="606"/>
      <c r="C291" s="607"/>
      <c r="D291" s="607"/>
      <c r="E291" s="607"/>
      <c r="F291" s="608"/>
      <c r="G291" s="602"/>
      <c r="H291" s="180"/>
      <c r="I291" s="213" t="s">
        <v>176</v>
      </c>
      <c r="J291" s="111">
        <f t="shared" ref="J291:U291" si="325">SUM(J292:J294)</f>
        <v>0</v>
      </c>
      <c r="K291" s="111">
        <f t="shared" si="325"/>
        <v>0</v>
      </c>
      <c r="L291" s="111">
        <f t="shared" si="325"/>
        <v>0</v>
      </c>
      <c r="M291" s="111">
        <f t="shared" si="325"/>
        <v>0</v>
      </c>
      <c r="N291" s="111">
        <f t="shared" si="325"/>
        <v>0</v>
      </c>
      <c r="O291" s="111">
        <f t="shared" si="325"/>
        <v>0</v>
      </c>
      <c r="P291" s="111">
        <f t="shared" si="325"/>
        <v>0</v>
      </c>
      <c r="Q291" s="111">
        <f t="shared" si="325"/>
        <v>0</v>
      </c>
      <c r="R291" s="111">
        <f t="shared" si="325"/>
        <v>10.4</v>
      </c>
      <c r="S291" s="111">
        <f t="shared" si="325"/>
        <v>140.4</v>
      </c>
      <c r="T291" s="111">
        <f t="shared" si="325"/>
        <v>156</v>
      </c>
      <c r="U291" s="111">
        <f t="shared" si="325"/>
        <v>114.4</v>
      </c>
      <c r="V291" s="111">
        <f t="shared" si="316"/>
        <v>421.20000000000005</v>
      </c>
      <c r="W291" s="111">
        <f t="shared" ca="1" si="317"/>
        <v>0</v>
      </c>
      <c r="Y291" s="111">
        <f t="shared" ca="1" si="318"/>
        <v>0</v>
      </c>
      <c r="Z291" s="111">
        <f t="shared" ca="1" si="319"/>
        <v>0</v>
      </c>
      <c r="AA291" s="111">
        <f t="shared" ca="1" si="320"/>
        <v>10.4</v>
      </c>
      <c r="AB291" s="111">
        <f t="shared" ca="1" si="321"/>
        <v>410.79999999999995</v>
      </c>
    </row>
    <row r="292" spans="2:28" ht="18" customHeight="1">
      <c r="B292" s="606"/>
      <c r="C292" s="607"/>
      <c r="D292" s="607"/>
      <c r="E292" s="607"/>
      <c r="F292" s="608"/>
      <c r="G292" s="602"/>
      <c r="H292" s="188"/>
      <c r="I292" s="214" t="s">
        <v>44</v>
      </c>
      <c r="J292" s="197">
        <f>+SUMIFS(J$277:J$285,$I$277:$I$285,$I$291,$H$277:$H$285,$I292)</f>
        <v>0</v>
      </c>
      <c r="K292" s="197">
        <f t="shared" ref="K292:U294" si="326">+SUMIFS(K$277:K$285,$I$277:$I$285,$I$291,$H$277:$H$285,$I292)</f>
        <v>0</v>
      </c>
      <c r="L292" s="197">
        <f t="shared" si="326"/>
        <v>0</v>
      </c>
      <c r="M292" s="197">
        <f t="shared" si="326"/>
        <v>0</v>
      </c>
      <c r="N292" s="197">
        <f t="shared" si="326"/>
        <v>0</v>
      </c>
      <c r="O292" s="197">
        <f t="shared" si="326"/>
        <v>0</v>
      </c>
      <c r="P292" s="197">
        <f t="shared" si="326"/>
        <v>0</v>
      </c>
      <c r="Q292" s="197">
        <f t="shared" si="326"/>
        <v>0</v>
      </c>
      <c r="R292" s="197">
        <f t="shared" si="326"/>
        <v>0</v>
      </c>
      <c r="S292" s="197">
        <f t="shared" si="326"/>
        <v>0</v>
      </c>
      <c r="T292" s="197">
        <f t="shared" si="326"/>
        <v>0</v>
      </c>
      <c r="U292" s="197">
        <f t="shared" si="326"/>
        <v>0</v>
      </c>
      <c r="V292" s="194">
        <f t="shared" si="316"/>
        <v>0</v>
      </c>
      <c r="W292" s="194">
        <f t="shared" ca="1" si="317"/>
        <v>0</v>
      </c>
      <c r="Y292" s="197">
        <f t="shared" ca="1" si="318"/>
        <v>0</v>
      </c>
      <c r="Z292" s="197">
        <f t="shared" ca="1" si="319"/>
        <v>0</v>
      </c>
      <c r="AA292" s="197">
        <f t="shared" ca="1" si="320"/>
        <v>0</v>
      </c>
      <c r="AB292" s="197">
        <f t="shared" ca="1" si="321"/>
        <v>0</v>
      </c>
    </row>
    <row r="293" spans="2:28" ht="18" customHeight="1">
      <c r="B293" s="606"/>
      <c r="C293" s="607"/>
      <c r="D293" s="607"/>
      <c r="E293" s="607"/>
      <c r="F293" s="608"/>
      <c r="G293" s="602"/>
      <c r="H293" s="189"/>
      <c r="I293" s="215" t="s">
        <v>33</v>
      </c>
      <c r="J293" s="199">
        <f t="shared" ref="J293:J294" si="327">+SUMIFS(J$277:J$285,$I$277:$I$285,$I$291,$H$277:$H$285,$I293)</f>
        <v>0</v>
      </c>
      <c r="K293" s="199">
        <f t="shared" si="326"/>
        <v>0</v>
      </c>
      <c r="L293" s="199">
        <f t="shared" si="326"/>
        <v>0</v>
      </c>
      <c r="M293" s="199">
        <f t="shared" si="326"/>
        <v>0</v>
      </c>
      <c r="N293" s="199">
        <f t="shared" si="326"/>
        <v>0</v>
      </c>
      <c r="O293" s="199">
        <f t="shared" si="326"/>
        <v>0</v>
      </c>
      <c r="P293" s="199">
        <f t="shared" si="326"/>
        <v>0</v>
      </c>
      <c r="Q293" s="199">
        <f t="shared" si="326"/>
        <v>0</v>
      </c>
      <c r="R293" s="199">
        <f t="shared" si="326"/>
        <v>10.4</v>
      </c>
      <c r="S293" s="199">
        <f t="shared" si="326"/>
        <v>140.4</v>
      </c>
      <c r="T293" s="199">
        <f t="shared" si="326"/>
        <v>156</v>
      </c>
      <c r="U293" s="199">
        <f t="shared" si="326"/>
        <v>114.4</v>
      </c>
      <c r="V293" s="195">
        <f t="shared" si="316"/>
        <v>421.20000000000005</v>
      </c>
      <c r="W293" s="195">
        <f t="shared" ca="1" si="317"/>
        <v>0</v>
      </c>
      <c r="Y293" s="199">
        <f t="shared" ca="1" si="318"/>
        <v>0</v>
      </c>
      <c r="Z293" s="199">
        <f t="shared" ca="1" si="319"/>
        <v>0</v>
      </c>
      <c r="AA293" s="199">
        <f t="shared" ca="1" si="320"/>
        <v>10.4</v>
      </c>
      <c r="AB293" s="199">
        <f t="shared" ca="1" si="321"/>
        <v>410.79999999999995</v>
      </c>
    </row>
    <row r="294" spans="2:28" ht="18" customHeight="1">
      <c r="B294" s="606"/>
      <c r="C294" s="607"/>
      <c r="D294" s="607"/>
      <c r="E294" s="607"/>
      <c r="F294" s="608"/>
      <c r="G294" s="602"/>
      <c r="H294" s="190"/>
      <c r="I294" s="216" t="s">
        <v>62</v>
      </c>
      <c r="J294" s="201">
        <f t="shared" si="327"/>
        <v>0</v>
      </c>
      <c r="K294" s="201">
        <f t="shared" si="326"/>
        <v>0</v>
      </c>
      <c r="L294" s="201">
        <f t="shared" si="326"/>
        <v>0</v>
      </c>
      <c r="M294" s="201">
        <f t="shared" si="326"/>
        <v>0</v>
      </c>
      <c r="N294" s="201">
        <f t="shared" si="326"/>
        <v>0</v>
      </c>
      <c r="O294" s="201">
        <f t="shared" si="326"/>
        <v>0</v>
      </c>
      <c r="P294" s="201">
        <f t="shared" si="326"/>
        <v>0</v>
      </c>
      <c r="Q294" s="201">
        <f t="shared" si="326"/>
        <v>0</v>
      </c>
      <c r="R294" s="201">
        <f t="shared" si="326"/>
        <v>0</v>
      </c>
      <c r="S294" s="201">
        <f t="shared" si="326"/>
        <v>0</v>
      </c>
      <c r="T294" s="201">
        <f t="shared" si="326"/>
        <v>0</v>
      </c>
      <c r="U294" s="201">
        <f t="shared" si="326"/>
        <v>0</v>
      </c>
      <c r="V294" s="196">
        <f t="shared" si="316"/>
        <v>0</v>
      </c>
      <c r="W294" s="196">
        <f t="shared" ca="1" si="317"/>
        <v>0</v>
      </c>
      <c r="Y294" s="201">
        <f t="shared" ca="1" si="318"/>
        <v>0</v>
      </c>
      <c r="Z294" s="201">
        <f t="shared" ca="1" si="319"/>
        <v>0</v>
      </c>
      <c r="AA294" s="201">
        <f t="shared" ca="1" si="320"/>
        <v>0</v>
      </c>
      <c r="AB294" s="201">
        <f t="shared" ca="1" si="321"/>
        <v>0</v>
      </c>
    </row>
    <row r="295" spans="2:28" ht="18" customHeight="1">
      <c r="B295" s="606"/>
      <c r="C295" s="607"/>
      <c r="D295" s="607"/>
      <c r="E295" s="607"/>
      <c r="F295" s="608"/>
      <c r="G295" s="602"/>
      <c r="H295" s="180"/>
      <c r="I295" s="213" t="s">
        <v>177</v>
      </c>
      <c r="J295" s="111">
        <f t="shared" ref="J295:U295" si="328">SUM(J296:J298)</f>
        <v>0</v>
      </c>
      <c r="K295" s="111">
        <f t="shared" si="328"/>
        <v>0</v>
      </c>
      <c r="L295" s="111">
        <f t="shared" si="328"/>
        <v>0</v>
      </c>
      <c r="M295" s="111">
        <f t="shared" si="328"/>
        <v>0</v>
      </c>
      <c r="N295" s="111">
        <f t="shared" si="328"/>
        <v>0</v>
      </c>
      <c r="O295" s="111">
        <f t="shared" si="328"/>
        <v>0</v>
      </c>
      <c r="P295" s="111">
        <f t="shared" si="328"/>
        <v>0</v>
      </c>
      <c r="Q295" s="111">
        <f t="shared" si="328"/>
        <v>0</v>
      </c>
      <c r="R295" s="111">
        <f t="shared" si="328"/>
        <v>0</v>
      </c>
      <c r="S295" s="111">
        <f t="shared" si="328"/>
        <v>57.199999999999996</v>
      </c>
      <c r="T295" s="111">
        <f t="shared" si="328"/>
        <v>150.80000000000001</v>
      </c>
      <c r="U295" s="111">
        <f t="shared" si="328"/>
        <v>213.20000000000002</v>
      </c>
      <c r="V295" s="111">
        <f t="shared" si="316"/>
        <v>421.20000000000005</v>
      </c>
      <c r="W295" s="111">
        <f t="shared" ca="1" si="317"/>
        <v>0</v>
      </c>
      <c r="Y295" s="111">
        <f t="shared" ca="1" si="318"/>
        <v>0</v>
      </c>
      <c r="Z295" s="111">
        <f t="shared" ca="1" si="319"/>
        <v>0</v>
      </c>
      <c r="AA295" s="111">
        <f t="shared" ca="1" si="320"/>
        <v>0</v>
      </c>
      <c r="AB295" s="111">
        <f t="shared" ca="1" si="321"/>
        <v>421.20000000000005</v>
      </c>
    </row>
    <row r="296" spans="2:28" ht="18" customHeight="1">
      <c r="B296" s="606"/>
      <c r="C296" s="607"/>
      <c r="D296" s="607"/>
      <c r="E296" s="607"/>
      <c r="F296" s="608"/>
      <c r="G296" s="602"/>
      <c r="H296" s="188"/>
      <c r="I296" s="214" t="s">
        <v>44</v>
      </c>
      <c r="J296" s="197">
        <f>+SUMIFS(J$277:J$285,$I$277:$I$285,$I$295,$H$277:$H$285,$I296)</f>
        <v>0</v>
      </c>
      <c r="K296" s="197">
        <f t="shared" ref="K296:U298" si="329">+SUMIFS(K$277:K$285,$I$277:$I$285,$I$295,$H$277:$H$285,$I296)</f>
        <v>0</v>
      </c>
      <c r="L296" s="197">
        <f t="shared" si="329"/>
        <v>0</v>
      </c>
      <c r="M296" s="197">
        <f t="shared" si="329"/>
        <v>0</v>
      </c>
      <c r="N296" s="197">
        <f t="shared" si="329"/>
        <v>0</v>
      </c>
      <c r="O296" s="197">
        <f t="shared" si="329"/>
        <v>0</v>
      </c>
      <c r="P296" s="197">
        <f t="shared" si="329"/>
        <v>0</v>
      </c>
      <c r="Q296" s="197">
        <f t="shared" si="329"/>
        <v>0</v>
      </c>
      <c r="R296" s="197">
        <f t="shared" si="329"/>
        <v>0</v>
      </c>
      <c r="S296" s="197">
        <f t="shared" si="329"/>
        <v>0</v>
      </c>
      <c r="T296" s="197">
        <f t="shared" si="329"/>
        <v>0</v>
      </c>
      <c r="U296" s="197">
        <f t="shared" si="329"/>
        <v>0</v>
      </c>
      <c r="V296" s="194">
        <f t="shared" si="316"/>
        <v>0</v>
      </c>
      <c r="W296" s="194">
        <f t="shared" ca="1" si="317"/>
        <v>0</v>
      </c>
      <c r="Y296" s="197">
        <f t="shared" ca="1" si="318"/>
        <v>0</v>
      </c>
      <c r="Z296" s="197">
        <f t="shared" ca="1" si="319"/>
        <v>0</v>
      </c>
      <c r="AA296" s="197">
        <f t="shared" ca="1" si="320"/>
        <v>0</v>
      </c>
      <c r="AB296" s="197">
        <f t="shared" ca="1" si="321"/>
        <v>0</v>
      </c>
    </row>
    <row r="297" spans="2:28" ht="18" customHeight="1">
      <c r="B297" s="606"/>
      <c r="C297" s="607"/>
      <c r="D297" s="607"/>
      <c r="E297" s="607"/>
      <c r="F297" s="608"/>
      <c r="G297" s="602"/>
      <c r="H297" s="189"/>
      <c r="I297" s="215" t="s">
        <v>33</v>
      </c>
      <c r="J297" s="199">
        <f t="shared" ref="J297:J298" si="330">+SUMIFS(J$277:J$285,$I$277:$I$285,$I$295,$H$277:$H$285,$I297)</f>
        <v>0</v>
      </c>
      <c r="K297" s="199">
        <f t="shared" si="329"/>
        <v>0</v>
      </c>
      <c r="L297" s="199">
        <f t="shared" si="329"/>
        <v>0</v>
      </c>
      <c r="M297" s="199">
        <f t="shared" si="329"/>
        <v>0</v>
      </c>
      <c r="N297" s="199">
        <f t="shared" si="329"/>
        <v>0</v>
      </c>
      <c r="O297" s="199">
        <f t="shared" si="329"/>
        <v>0</v>
      </c>
      <c r="P297" s="199">
        <f t="shared" si="329"/>
        <v>0</v>
      </c>
      <c r="Q297" s="199">
        <f t="shared" si="329"/>
        <v>0</v>
      </c>
      <c r="R297" s="199">
        <f t="shared" si="329"/>
        <v>0</v>
      </c>
      <c r="S297" s="199">
        <f t="shared" si="329"/>
        <v>57.199999999999996</v>
      </c>
      <c r="T297" s="199">
        <f t="shared" si="329"/>
        <v>150.80000000000001</v>
      </c>
      <c r="U297" s="199">
        <f t="shared" si="329"/>
        <v>213.20000000000002</v>
      </c>
      <c r="V297" s="195">
        <f t="shared" si="316"/>
        <v>421.20000000000005</v>
      </c>
      <c r="W297" s="195">
        <f t="shared" ca="1" si="317"/>
        <v>0</v>
      </c>
      <c r="Y297" s="199">
        <f t="shared" ca="1" si="318"/>
        <v>0</v>
      </c>
      <c r="Z297" s="199">
        <f t="shared" ca="1" si="319"/>
        <v>0</v>
      </c>
      <c r="AA297" s="199">
        <f t="shared" ca="1" si="320"/>
        <v>0</v>
      </c>
      <c r="AB297" s="199">
        <f t="shared" ca="1" si="321"/>
        <v>421.20000000000005</v>
      </c>
    </row>
    <row r="298" spans="2:28" ht="18" customHeight="1">
      <c r="B298" s="609"/>
      <c r="C298" s="610"/>
      <c r="D298" s="610"/>
      <c r="E298" s="610"/>
      <c r="F298" s="611"/>
      <c r="G298" s="602"/>
      <c r="H298" s="190"/>
      <c r="I298" s="216" t="s">
        <v>62</v>
      </c>
      <c r="J298" s="201">
        <f t="shared" si="330"/>
        <v>0</v>
      </c>
      <c r="K298" s="201">
        <f t="shared" si="329"/>
        <v>0</v>
      </c>
      <c r="L298" s="201">
        <f t="shared" si="329"/>
        <v>0</v>
      </c>
      <c r="M298" s="201">
        <f t="shared" si="329"/>
        <v>0</v>
      </c>
      <c r="N298" s="201">
        <f t="shared" si="329"/>
        <v>0</v>
      </c>
      <c r="O298" s="201">
        <f t="shared" si="329"/>
        <v>0</v>
      </c>
      <c r="P298" s="201">
        <f t="shared" si="329"/>
        <v>0</v>
      </c>
      <c r="Q298" s="201">
        <f t="shared" si="329"/>
        <v>0</v>
      </c>
      <c r="R298" s="201">
        <f t="shared" si="329"/>
        <v>0</v>
      </c>
      <c r="S298" s="201">
        <f t="shared" si="329"/>
        <v>0</v>
      </c>
      <c r="T298" s="201">
        <f t="shared" si="329"/>
        <v>0</v>
      </c>
      <c r="U298" s="201">
        <f t="shared" si="329"/>
        <v>0</v>
      </c>
      <c r="V298" s="196">
        <f t="shared" si="316"/>
        <v>0</v>
      </c>
      <c r="W298" s="196">
        <f t="shared" ca="1" si="317"/>
        <v>0</v>
      </c>
      <c r="Y298" s="201">
        <f t="shared" ca="1" si="318"/>
        <v>0</v>
      </c>
      <c r="Z298" s="201">
        <f t="shared" ca="1" si="319"/>
        <v>0</v>
      </c>
      <c r="AA298" s="201">
        <f t="shared" ca="1" si="320"/>
        <v>0</v>
      </c>
      <c r="AB298" s="201">
        <f t="shared" ca="1" si="321"/>
        <v>0</v>
      </c>
    </row>
    <row r="301" spans="2:28" s="171" customFormat="1" ht="18" customHeight="1">
      <c r="B301" s="191" t="s">
        <v>215</v>
      </c>
      <c r="C301" s="112"/>
      <c r="D301" s="112"/>
      <c r="E301" s="112"/>
      <c r="F301" s="112"/>
      <c r="G301" s="112"/>
      <c r="H301" s="112"/>
      <c r="I301" s="211"/>
      <c r="J301" s="192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  <c r="U301" s="192"/>
      <c r="V301" s="193"/>
      <c r="W301" s="193"/>
      <c r="Y301" s="218"/>
      <c r="Z301" s="218"/>
      <c r="AA301" s="218"/>
      <c r="AB301" s="218"/>
    </row>
    <row r="302" spans="2:28" ht="18" customHeight="1">
      <c r="B302" s="582">
        <v>1</v>
      </c>
      <c r="C302" s="585" t="s">
        <v>216</v>
      </c>
      <c r="D302" s="585" t="s">
        <v>217</v>
      </c>
      <c r="E302" s="582" t="s">
        <v>33</v>
      </c>
      <c r="F302" s="582" t="s">
        <v>218</v>
      </c>
      <c r="G302" s="582">
        <f>23*3.3</f>
        <v>75.899999999999991</v>
      </c>
      <c r="H302" s="206" t="s">
        <v>33</v>
      </c>
      <c r="I302" s="206" t="s">
        <v>175</v>
      </c>
      <c r="J302" s="197"/>
      <c r="K302" s="197"/>
      <c r="L302" s="198"/>
      <c r="M302" s="197"/>
      <c r="N302" s="197"/>
      <c r="O302" s="197"/>
      <c r="P302" s="197"/>
      <c r="Q302" s="197"/>
      <c r="R302" s="197"/>
      <c r="S302" s="197"/>
      <c r="T302" s="197"/>
      <c r="U302" s="197">
        <f>23*3.3</f>
        <v>75.899999999999991</v>
      </c>
      <c r="V302" s="194">
        <f>SUM(J302:U302)</f>
        <v>75.899999999999991</v>
      </c>
      <c r="W302" s="194">
        <f ca="1">SUM(OFFSET(J302,0,0,1,$A$1))</f>
        <v>0</v>
      </c>
      <c r="Y302" s="197">
        <f ca="1">SUM(OFFSET($J302,0,0,1,$A$2))</f>
        <v>0</v>
      </c>
      <c r="Z302" s="197">
        <f ca="1">SUM(OFFSET($M302,0,0,1,$A$2))</f>
        <v>0</v>
      </c>
      <c r="AA302" s="197">
        <f ca="1">SUM(OFFSET($P302,0,0,1,$A$2))</f>
        <v>0</v>
      </c>
      <c r="AB302" s="197">
        <f ca="1">SUM(OFFSET($S302,0,0,1,$A$2))</f>
        <v>75.899999999999991</v>
      </c>
    </row>
    <row r="303" spans="2:28" ht="18" customHeight="1">
      <c r="B303" s="583"/>
      <c r="C303" s="586"/>
      <c r="D303" s="588"/>
      <c r="E303" s="590"/>
      <c r="F303" s="590"/>
      <c r="G303" s="590"/>
      <c r="H303" s="207" t="s">
        <v>33</v>
      </c>
      <c r="I303" s="207" t="s">
        <v>176</v>
      </c>
      <c r="J303" s="199"/>
      <c r="K303" s="199"/>
      <c r="L303" s="200"/>
      <c r="M303" s="199"/>
      <c r="N303" s="199"/>
      <c r="O303" s="199"/>
      <c r="P303" s="199"/>
      <c r="Q303" s="199"/>
      <c r="R303" s="199"/>
      <c r="S303" s="199"/>
      <c r="T303" s="199"/>
      <c r="U303" s="199">
        <f t="shared" ref="U303:U304" si="331">23*3.3</f>
        <v>75.899999999999991</v>
      </c>
      <c r="V303" s="195">
        <f>SUM(J303:U303)</f>
        <v>75.899999999999991</v>
      </c>
      <c r="W303" s="195">
        <f ca="1">SUM(OFFSET(J303,0,0,1,$A$1))</f>
        <v>0</v>
      </c>
      <c r="Y303" s="199">
        <f ca="1">SUM(OFFSET($J303,0,0,1,$A$2))</f>
        <v>0</v>
      </c>
      <c r="Z303" s="199">
        <f ca="1">SUM(OFFSET($M303,0,0,1,$A$2))</f>
        <v>0</v>
      </c>
      <c r="AA303" s="199">
        <f ca="1">SUM(OFFSET($P303,0,0,1,$A$2))</f>
        <v>0</v>
      </c>
      <c r="AB303" s="199">
        <f ca="1">SUM(OFFSET($S303,0,0,1,$A$2))</f>
        <v>75.899999999999991</v>
      </c>
    </row>
    <row r="304" spans="2:28" ht="18" customHeight="1">
      <c r="B304" s="612"/>
      <c r="C304" s="613"/>
      <c r="D304" s="614"/>
      <c r="E304" s="615"/>
      <c r="F304" s="615"/>
      <c r="G304" s="615"/>
      <c r="H304" s="208" t="s">
        <v>33</v>
      </c>
      <c r="I304" s="208" t="s">
        <v>177</v>
      </c>
      <c r="J304" s="201"/>
      <c r="K304" s="201"/>
      <c r="L304" s="202"/>
      <c r="M304" s="201"/>
      <c r="N304" s="201"/>
      <c r="O304" s="201"/>
      <c r="P304" s="201"/>
      <c r="Q304" s="201"/>
      <c r="R304" s="201"/>
      <c r="S304" s="201"/>
      <c r="T304" s="201"/>
      <c r="U304" s="201">
        <f t="shared" si="331"/>
        <v>75.899999999999991</v>
      </c>
      <c r="V304" s="196">
        <f>SUM(J304:U304)</f>
        <v>75.899999999999991</v>
      </c>
      <c r="W304" s="196">
        <f ca="1">SUM(OFFSET(J304,0,0,1,$A$1))</f>
        <v>0</v>
      </c>
      <c r="Y304" s="201">
        <f ca="1">SUM(OFFSET($J304,0,0,1,$A$2))</f>
        <v>0</v>
      </c>
      <c r="Z304" s="201">
        <f ca="1">SUM(OFFSET($M304,0,0,1,$A$2))</f>
        <v>0</v>
      </c>
      <c r="AA304" s="201">
        <f ca="1">SUM(OFFSET($P304,0,0,1,$A$2))</f>
        <v>0</v>
      </c>
      <c r="AB304" s="201">
        <f ca="1">SUM(OFFSET($S304,0,0,1,$A$2))</f>
        <v>75.899999999999991</v>
      </c>
    </row>
    <row r="306" spans="2:28" ht="18" customHeight="1">
      <c r="B306" s="603" t="s">
        <v>219</v>
      </c>
      <c r="C306" s="604"/>
      <c r="D306" s="604"/>
      <c r="E306" s="604"/>
      <c r="F306" s="605"/>
      <c r="G306" s="602">
        <f>SUM(G296:G304)</f>
        <v>75.899999999999991</v>
      </c>
      <c r="H306" s="180"/>
      <c r="I306" s="213" t="s">
        <v>175</v>
      </c>
      <c r="J306" s="111">
        <f>SUM(J307:J309)</f>
        <v>0</v>
      </c>
      <c r="K306" s="111">
        <f t="shared" ref="K306:U306" si="332">SUM(K307:K309)</f>
        <v>0</v>
      </c>
      <c r="L306" s="111">
        <f t="shared" si="332"/>
        <v>0</v>
      </c>
      <c r="M306" s="111">
        <f t="shared" si="332"/>
        <v>0</v>
      </c>
      <c r="N306" s="111">
        <f t="shared" si="332"/>
        <v>0</v>
      </c>
      <c r="O306" s="111">
        <f t="shared" si="332"/>
        <v>0</v>
      </c>
      <c r="P306" s="111">
        <f t="shared" si="332"/>
        <v>0</v>
      </c>
      <c r="Q306" s="111">
        <f t="shared" si="332"/>
        <v>0</v>
      </c>
      <c r="R306" s="111">
        <f t="shared" si="332"/>
        <v>0</v>
      </c>
      <c r="S306" s="111">
        <f t="shared" si="332"/>
        <v>0</v>
      </c>
      <c r="T306" s="111">
        <f t="shared" si="332"/>
        <v>0</v>
      </c>
      <c r="U306" s="111">
        <f t="shared" si="332"/>
        <v>75.899999999999991</v>
      </c>
      <c r="V306" s="111">
        <f t="shared" ref="V306:V317" si="333">SUM(J306:U306)</f>
        <v>75.899999999999991</v>
      </c>
      <c r="W306" s="111">
        <f t="shared" ref="W306:W317" ca="1" si="334">SUM(OFFSET(J306,0,0,1,$A$1))</f>
        <v>0</v>
      </c>
      <c r="Y306" s="111">
        <f t="shared" ref="Y306:Y317" ca="1" si="335">SUM(OFFSET($J306,0,0,1,$A$2))</f>
        <v>0</v>
      </c>
      <c r="Z306" s="111">
        <f t="shared" ref="Z306:Z317" ca="1" si="336">SUM(OFFSET($M306,0,0,1,$A$2))</f>
        <v>0</v>
      </c>
      <c r="AA306" s="111">
        <f t="shared" ref="AA306:AA317" ca="1" si="337">SUM(OFFSET($P306,0,0,1,$A$2))</f>
        <v>0</v>
      </c>
      <c r="AB306" s="111">
        <f t="shared" ref="AB306:AB317" ca="1" si="338">SUM(OFFSET($S306,0,0,1,$A$2))</f>
        <v>75.899999999999991</v>
      </c>
    </row>
    <row r="307" spans="2:28" ht="18" customHeight="1">
      <c r="B307" s="606"/>
      <c r="C307" s="607"/>
      <c r="D307" s="607"/>
      <c r="E307" s="607"/>
      <c r="F307" s="608"/>
      <c r="G307" s="602"/>
      <c r="H307" s="188"/>
      <c r="I307" s="214" t="s">
        <v>44</v>
      </c>
      <c r="J307" s="197">
        <f>+SUMIFS(J$302:J$304,$I$302:$I$304,$I$306,$H$302:$H$304,$I307)</f>
        <v>0</v>
      </c>
      <c r="K307" s="197">
        <f t="shared" ref="K307:T309" si="339">+SUMIFS(K$302:K$304,$I$302:$I$304,$I$306,$H$302:$H$304,$I307)</f>
        <v>0</v>
      </c>
      <c r="L307" s="197">
        <f t="shared" si="339"/>
        <v>0</v>
      </c>
      <c r="M307" s="197">
        <f t="shared" si="339"/>
        <v>0</v>
      </c>
      <c r="N307" s="197">
        <f t="shared" si="339"/>
        <v>0</v>
      </c>
      <c r="O307" s="197">
        <f t="shared" si="339"/>
        <v>0</v>
      </c>
      <c r="P307" s="197">
        <f t="shared" si="339"/>
        <v>0</v>
      </c>
      <c r="Q307" s="197">
        <f t="shared" si="339"/>
        <v>0</v>
      </c>
      <c r="R307" s="197">
        <f t="shared" si="339"/>
        <v>0</v>
      </c>
      <c r="S307" s="197">
        <f t="shared" si="339"/>
        <v>0</v>
      </c>
      <c r="T307" s="197">
        <f t="shared" si="339"/>
        <v>0</v>
      </c>
      <c r="U307" s="197">
        <f>+SUMIFS(U$302:U$304,$I$302:$I$304,$I$287,$H$302:$H$304,$I307)</f>
        <v>0</v>
      </c>
      <c r="V307" s="194">
        <f t="shared" si="333"/>
        <v>0</v>
      </c>
      <c r="W307" s="194">
        <f t="shared" ca="1" si="334"/>
        <v>0</v>
      </c>
      <c r="Y307" s="197">
        <f t="shared" ca="1" si="335"/>
        <v>0</v>
      </c>
      <c r="Z307" s="197">
        <f t="shared" ca="1" si="336"/>
        <v>0</v>
      </c>
      <c r="AA307" s="197">
        <f t="shared" ca="1" si="337"/>
        <v>0</v>
      </c>
      <c r="AB307" s="197">
        <f t="shared" ca="1" si="338"/>
        <v>0</v>
      </c>
    </row>
    <row r="308" spans="2:28" ht="18" customHeight="1">
      <c r="B308" s="606"/>
      <c r="C308" s="607"/>
      <c r="D308" s="607"/>
      <c r="E308" s="607"/>
      <c r="F308" s="608"/>
      <c r="G308" s="602"/>
      <c r="H308" s="189"/>
      <c r="I308" s="215" t="s">
        <v>33</v>
      </c>
      <c r="J308" s="199">
        <f t="shared" ref="J308:J309" si="340">+SUMIFS(J$302:J$304,$I$302:$I$304,$I$306,$H$302:$H$304,$I308)</f>
        <v>0</v>
      </c>
      <c r="K308" s="199">
        <f t="shared" si="339"/>
        <v>0</v>
      </c>
      <c r="L308" s="199">
        <f t="shared" si="339"/>
        <v>0</v>
      </c>
      <c r="M308" s="199">
        <f t="shared" si="339"/>
        <v>0</v>
      </c>
      <c r="N308" s="199">
        <f t="shared" si="339"/>
        <v>0</v>
      </c>
      <c r="O308" s="199">
        <f t="shared" si="339"/>
        <v>0</v>
      </c>
      <c r="P308" s="199">
        <f t="shared" si="339"/>
        <v>0</v>
      </c>
      <c r="Q308" s="199">
        <f t="shared" si="339"/>
        <v>0</v>
      </c>
      <c r="R308" s="199">
        <f t="shared" si="339"/>
        <v>0</v>
      </c>
      <c r="S308" s="199">
        <f t="shared" si="339"/>
        <v>0</v>
      </c>
      <c r="T308" s="199">
        <f t="shared" si="339"/>
        <v>0</v>
      </c>
      <c r="U308" s="199">
        <f>+SUMIFS(U$302:U$304,$I$302:$I$304,$I$287,$H$302:$H$304,$I308)</f>
        <v>75.899999999999991</v>
      </c>
      <c r="V308" s="195">
        <f t="shared" si="333"/>
        <v>75.899999999999991</v>
      </c>
      <c r="W308" s="195">
        <f t="shared" ca="1" si="334"/>
        <v>0</v>
      </c>
      <c r="Y308" s="199">
        <f t="shared" ca="1" si="335"/>
        <v>0</v>
      </c>
      <c r="Z308" s="199">
        <f t="shared" ca="1" si="336"/>
        <v>0</v>
      </c>
      <c r="AA308" s="199">
        <f t="shared" ca="1" si="337"/>
        <v>0</v>
      </c>
      <c r="AB308" s="199">
        <f t="shared" ca="1" si="338"/>
        <v>75.899999999999991</v>
      </c>
    </row>
    <row r="309" spans="2:28" ht="18" customHeight="1">
      <c r="B309" s="606"/>
      <c r="C309" s="607"/>
      <c r="D309" s="607"/>
      <c r="E309" s="607"/>
      <c r="F309" s="608"/>
      <c r="G309" s="602"/>
      <c r="H309" s="190"/>
      <c r="I309" s="216" t="s">
        <v>62</v>
      </c>
      <c r="J309" s="201">
        <f t="shared" si="340"/>
        <v>0</v>
      </c>
      <c r="K309" s="201">
        <f t="shared" si="339"/>
        <v>0</v>
      </c>
      <c r="L309" s="201">
        <f t="shared" si="339"/>
        <v>0</v>
      </c>
      <c r="M309" s="201">
        <f t="shared" si="339"/>
        <v>0</v>
      </c>
      <c r="N309" s="201">
        <f t="shared" si="339"/>
        <v>0</v>
      </c>
      <c r="O309" s="201">
        <f t="shared" si="339"/>
        <v>0</v>
      </c>
      <c r="P309" s="201">
        <f t="shared" si="339"/>
        <v>0</v>
      </c>
      <c r="Q309" s="201">
        <f t="shared" si="339"/>
        <v>0</v>
      </c>
      <c r="R309" s="201">
        <f t="shared" si="339"/>
        <v>0</v>
      </c>
      <c r="S309" s="201">
        <f t="shared" si="339"/>
        <v>0</v>
      </c>
      <c r="T309" s="201">
        <f t="shared" si="339"/>
        <v>0</v>
      </c>
      <c r="U309" s="201">
        <f>+SUMIFS(U$302:U$304,$I$302:$I$304,$I$287,$H$302:$H$304,$I309)</f>
        <v>0</v>
      </c>
      <c r="V309" s="196">
        <f t="shared" si="333"/>
        <v>0</v>
      </c>
      <c r="W309" s="196">
        <f t="shared" ca="1" si="334"/>
        <v>0</v>
      </c>
      <c r="Y309" s="201">
        <f t="shared" ca="1" si="335"/>
        <v>0</v>
      </c>
      <c r="Z309" s="201">
        <f t="shared" ca="1" si="336"/>
        <v>0</v>
      </c>
      <c r="AA309" s="201">
        <f t="shared" ca="1" si="337"/>
        <v>0</v>
      </c>
      <c r="AB309" s="201">
        <f t="shared" ca="1" si="338"/>
        <v>0</v>
      </c>
    </row>
    <row r="310" spans="2:28" ht="18" customHeight="1">
      <c r="B310" s="606"/>
      <c r="C310" s="607"/>
      <c r="D310" s="607"/>
      <c r="E310" s="607"/>
      <c r="F310" s="608"/>
      <c r="G310" s="602"/>
      <c r="H310" s="180"/>
      <c r="I310" s="213" t="s">
        <v>176</v>
      </c>
      <c r="J310" s="111">
        <f t="shared" ref="J310:U310" si="341">SUM(J311:J313)</f>
        <v>0</v>
      </c>
      <c r="K310" s="111">
        <f t="shared" si="341"/>
        <v>0</v>
      </c>
      <c r="L310" s="111">
        <f t="shared" si="341"/>
        <v>0</v>
      </c>
      <c r="M310" s="111">
        <f t="shared" si="341"/>
        <v>0</v>
      </c>
      <c r="N310" s="111">
        <f t="shared" si="341"/>
        <v>0</v>
      </c>
      <c r="O310" s="111">
        <f t="shared" si="341"/>
        <v>0</v>
      </c>
      <c r="P310" s="111">
        <f t="shared" si="341"/>
        <v>0</v>
      </c>
      <c r="Q310" s="111">
        <f t="shared" si="341"/>
        <v>0</v>
      </c>
      <c r="R310" s="111">
        <f t="shared" si="341"/>
        <v>0</v>
      </c>
      <c r="S310" s="111">
        <f t="shared" si="341"/>
        <v>0</v>
      </c>
      <c r="T310" s="111">
        <f t="shared" si="341"/>
        <v>0</v>
      </c>
      <c r="U310" s="111">
        <f t="shared" si="341"/>
        <v>75.899999999999991</v>
      </c>
      <c r="V310" s="111">
        <f t="shared" si="333"/>
        <v>75.899999999999991</v>
      </c>
      <c r="W310" s="111">
        <f t="shared" ca="1" si="334"/>
        <v>0</v>
      </c>
      <c r="Y310" s="111">
        <f t="shared" ca="1" si="335"/>
        <v>0</v>
      </c>
      <c r="Z310" s="111">
        <f t="shared" ca="1" si="336"/>
        <v>0</v>
      </c>
      <c r="AA310" s="111">
        <f t="shared" ca="1" si="337"/>
        <v>0</v>
      </c>
      <c r="AB310" s="111">
        <f t="shared" ca="1" si="338"/>
        <v>75.899999999999991</v>
      </c>
    </row>
    <row r="311" spans="2:28" ht="18" customHeight="1">
      <c r="B311" s="606"/>
      <c r="C311" s="607"/>
      <c r="D311" s="607"/>
      <c r="E311" s="607"/>
      <c r="F311" s="608"/>
      <c r="G311" s="602"/>
      <c r="H311" s="188"/>
      <c r="I311" s="214" t="s">
        <v>44</v>
      </c>
      <c r="J311" s="197">
        <f>+SUMIFS(J$302:J$304,$I$302:$I$304,$I$310,$H$302:$H$304,$I311)</f>
        <v>0</v>
      </c>
      <c r="K311" s="197">
        <f t="shared" ref="K311:T313" si="342">+SUMIFS(K$302:K$304,$I$302:$I$304,$I$310,$H$302:$H$304,$I311)</f>
        <v>0</v>
      </c>
      <c r="L311" s="197">
        <f t="shared" si="342"/>
        <v>0</v>
      </c>
      <c r="M311" s="197">
        <f t="shared" si="342"/>
        <v>0</v>
      </c>
      <c r="N311" s="197">
        <f t="shared" si="342"/>
        <v>0</v>
      </c>
      <c r="O311" s="197">
        <f t="shared" si="342"/>
        <v>0</v>
      </c>
      <c r="P311" s="197">
        <f t="shared" si="342"/>
        <v>0</v>
      </c>
      <c r="Q311" s="197">
        <f t="shared" si="342"/>
        <v>0</v>
      </c>
      <c r="R311" s="197">
        <f t="shared" si="342"/>
        <v>0</v>
      </c>
      <c r="S311" s="197">
        <f t="shared" si="342"/>
        <v>0</v>
      </c>
      <c r="T311" s="197">
        <f t="shared" si="342"/>
        <v>0</v>
      </c>
      <c r="U311" s="197">
        <f>+SUMIFS(U$302:U$304,$I$302:$I$304,$I$287,$H$302:$H$304,$I311)</f>
        <v>0</v>
      </c>
      <c r="V311" s="194">
        <f t="shared" si="333"/>
        <v>0</v>
      </c>
      <c r="W311" s="194">
        <f t="shared" ca="1" si="334"/>
        <v>0</v>
      </c>
      <c r="Y311" s="197">
        <f t="shared" ca="1" si="335"/>
        <v>0</v>
      </c>
      <c r="Z311" s="197">
        <f t="shared" ca="1" si="336"/>
        <v>0</v>
      </c>
      <c r="AA311" s="197">
        <f t="shared" ca="1" si="337"/>
        <v>0</v>
      </c>
      <c r="AB311" s="197">
        <f t="shared" ca="1" si="338"/>
        <v>0</v>
      </c>
    </row>
    <row r="312" spans="2:28" ht="18" customHeight="1">
      <c r="B312" s="606"/>
      <c r="C312" s="607"/>
      <c r="D312" s="607"/>
      <c r="E312" s="607"/>
      <c r="F312" s="608"/>
      <c r="G312" s="602"/>
      <c r="H312" s="189"/>
      <c r="I312" s="215" t="s">
        <v>33</v>
      </c>
      <c r="J312" s="199">
        <f t="shared" ref="J312:J313" si="343">+SUMIFS(J$302:J$304,$I$302:$I$304,$I$310,$H$302:$H$304,$I312)</f>
        <v>0</v>
      </c>
      <c r="K312" s="199">
        <f t="shared" si="342"/>
        <v>0</v>
      </c>
      <c r="L312" s="199">
        <f t="shared" si="342"/>
        <v>0</v>
      </c>
      <c r="M312" s="199">
        <f t="shared" si="342"/>
        <v>0</v>
      </c>
      <c r="N312" s="199">
        <f t="shared" si="342"/>
        <v>0</v>
      </c>
      <c r="O312" s="199">
        <f t="shared" si="342"/>
        <v>0</v>
      </c>
      <c r="P312" s="199">
        <f t="shared" si="342"/>
        <v>0</v>
      </c>
      <c r="Q312" s="199">
        <f t="shared" si="342"/>
        <v>0</v>
      </c>
      <c r="R312" s="199">
        <f t="shared" si="342"/>
        <v>0</v>
      </c>
      <c r="S312" s="199">
        <f t="shared" si="342"/>
        <v>0</v>
      </c>
      <c r="T312" s="199">
        <f t="shared" si="342"/>
        <v>0</v>
      </c>
      <c r="U312" s="199">
        <f>+SUMIFS(U$302:U$304,$I$302:$I$304,$I$287,$H$302:$H$304,$I312)</f>
        <v>75.899999999999991</v>
      </c>
      <c r="V312" s="195">
        <f t="shared" si="333"/>
        <v>75.899999999999991</v>
      </c>
      <c r="W312" s="195">
        <f t="shared" ca="1" si="334"/>
        <v>0</v>
      </c>
      <c r="Y312" s="199">
        <f t="shared" ca="1" si="335"/>
        <v>0</v>
      </c>
      <c r="Z312" s="199">
        <f t="shared" ca="1" si="336"/>
        <v>0</v>
      </c>
      <c r="AA312" s="199">
        <f t="shared" ca="1" si="337"/>
        <v>0</v>
      </c>
      <c r="AB312" s="199">
        <f t="shared" ca="1" si="338"/>
        <v>75.899999999999991</v>
      </c>
    </row>
    <row r="313" spans="2:28" ht="18" customHeight="1">
      <c r="B313" s="606"/>
      <c r="C313" s="607"/>
      <c r="D313" s="607"/>
      <c r="E313" s="607"/>
      <c r="F313" s="608"/>
      <c r="G313" s="602"/>
      <c r="H313" s="190"/>
      <c r="I313" s="216" t="s">
        <v>62</v>
      </c>
      <c r="J313" s="201">
        <f t="shared" si="343"/>
        <v>0</v>
      </c>
      <c r="K313" s="201">
        <f t="shared" si="342"/>
        <v>0</v>
      </c>
      <c r="L313" s="201">
        <f t="shared" si="342"/>
        <v>0</v>
      </c>
      <c r="M313" s="201">
        <f t="shared" si="342"/>
        <v>0</v>
      </c>
      <c r="N313" s="201">
        <f t="shared" si="342"/>
        <v>0</v>
      </c>
      <c r="O313" s="201">
        <f t="shared" si="342"/>
        <v>0</v>
      </c>
      <c r="P313" s="201">
        <f t="shared" si="342"/>
        <v>0</v>
      </c>
      <c r="Q313" s="201">
        <f t="shared" si="342"/>
        <v>0</v>
      </c>
      <c r="R313" s="201">
        <f t="shared" si="342"/>
        <v>0</v>
      </c>
      <c r="S313" s="201">
        <f t="shared" si="342"/>
        <v>0</v>
      </c>
      <c r="T313" s="201">
        <f t="shared" si="342"/>
        <v>0</v>
      </c>
      <c r="U313" s="201">
        <f>+SUMIFS(U$302:U$304,$I$302:$I$304,$I$287,$H$302:$H$304,$I313)</f>
        <v>0</v>
      </c>
      <c r="V313" s="196">
        <f t="shared" si="333"/>
        <v>0</v>
      </c>
      <c r="W313" s="196">
        <f t="shared" ca="1" si="334"/>
        <v>0</v>
      </c>
      <c r="Y313" s="201">
        <f t="shared" ca="1" si="335"/>
        <v>0</v>
      </c>
      <c r="Z313" s="201">
        <f t="shared" ca="1" si="336"/>
        <v>0</v>
      </c>
      <c r="AA313" s="201">
        <f t="shared" ca="1" si="337"/>
        <v>0</v>
      </c>
      <c r="AB313" s="201">
        <f t="shared" ca="1" si="338"/>
        <v>0</v>
      </c>
    </row>
    <row r="314" spans="2:28" ht="18" customHeight="1">
      <c r="B314" s="606"/>
      <c r="C314" s="607"/>
      <c r="D314" s="607"/>
      <c r="E314" s="607"/>
      <c r="F314" s="608"/>
      <c r="G314" s="602"/>
      <c r="H314" s="180"/>
      <c r="I314" s="213" t="s">
        <v>177</v>
      </c>
      <c r="J314" s="111">
        <f t="shared" ref="J314:U314" si="344">SUM(J315:J317)</f>
        <v>0</v>
      </c>
      <c r="K314" s="111">
        <f t="shared" si="344"/>
        <v>0</v>
      </c>
      <c r="L314" s="111">
        <f t="shared" si="344"/>
        <v>0</v>
      </c>
      <c r="M314" s="111">
        <f t="shared" si="344"/>
        <v>0</v>
      </c>
      <c r="N314" s="111">
        <f t="shared" si="344"/>
        <v>0</v>
      </c>
      <c r="O314" s="111">
        <f t="shared" si="344"/>
        <v>0</v>
      </c>
      <c r="P314" s="111">
        <f t="shared" si="344"/>
        <v>0</v>
      </c>
      <c r="Q314" s="111">
        <f t="shared" si="344"/>
        <v>0</v>
      </c>
      <c r="R314" s="111">
        <f t="shared" si="344"/>
        <v>0</v>
      </c>
      <c r="S314" s="111">
        <f t="shared" si="344"/>
        <v>0</v>
      </c>
      <c r="T314" s="111">
        <f t="shared" si="344"/>
        <v>0</v>
      </c>
      <c r="U314" s="111">
        <f t="shared" si="344"/>
        <v>75.899999999999991</v>
      </c>
      <c r="V314" s="111">
        <f t="shared" si="333"/>
        <v>75.899999999999991</v>
      </c>
      <c r="W314" s="111">
        <f t="shared" ca="1" si="334"/>
        <v>0</v>
      </c>
      <c r="Y314" s="111">
        <f t="shared" ca="1" si="335"/>
        <v>0</v>
      </c>
      <c r="Z314" s="111">
        <f t="shared" ca="1" si="336"/>
        <v>0</v>
      </c>
      <c r="AA314" s="111">
        <f t="shared" ca="1" si="337"/>
        <v>0</v>
      </c>
      <c r="AB314" s="111">
        <f t="shared" ca="1" si="338"/>
        <v>75.899999999999991</v>
      </c>
    </row>
    <row r="315" spans="2:28" ht="18" customHeight="1">
      <c r="B315" s="606"/>
      <c r="C315" s="607"/>
      <c r="D315" s="607"/>
      <c r="E315" s="607"/>
      <c r="F315" s="608"/>
      <c r="G315" s="602"/>
      <c r="H315" s="188"/>
      <c r="I315" s="214" t="s">
        <v>44</v>
      </c>
      <c r="J315" s="197">
        <f>+SUMIFS(J$302:J$304,$I$302:$I$304,$I$314,$H$302:$H$304,$I315)</f>
        <v>0</v>
      </c>
      <c r="K315" s="197">
        <f t="shared" ref="K315:U317" si="345">+SUMIFS(K$302:K$304,$I$302:$I$304,$I$314,$H$302:$H$304,$I315)</f>
        <v>0</v>
      </c>
      <c r="L315" s="197">
        <f t="shared" si="345"/>
        <v>0</v>
      </c>
      <c r="M315" s="197">
        <f t="shared" si="345"/>
        <v>0</v>
      </c>
      <c r="N315" s="197">
        <f t="shared" si="345"/>
        <v>0</v>
      </c>
      <c r="O315" s="197">
        <f t="shared" si="345"/>
        <v>0</v>
      </c>
      <c r="P315" s="197">
        <f t="shared" si="345"/>
        <v>0</v>
      </c>
      <c r="Q315" s="197">
        <f t="shared" si="345"/>
        <v>0</v>
      </c>
      <c r="R315" s="197">
        <f t="shared" si="345"/>
        <v>0</v>
      </c>
      <c r="S315" s="197">
        <f t="shared" si="345"/>
        <v>0</v>
      </c>
      <c r="T315" s="197">
        <f t="shared" si="345"/>
        <v>0</v>
      </c>
      <c r="U315" s="197">
        <f t="shared" si="345"/>
        <v>0</v>
      </c>
      <c r="V315" s="194">
        <f t="shared" si="333"/>
        <v>0</v>
      </c>
      <c r="W315" s="194">
        <f t="shared" ca="1" si="334"/>
        <v>0</v>
      </c>
      <c r="Y315" s="197">
        <f t="shared" ca="1" si="335"/>
        <v>0</v>
      </c>
      <c r="Z315" s="197">
        <f t="shared" ca="1" si="336"/>
        <v>0</v>
      </c>
      <c r="AA315" s="197">
        <f t="shared" ca="1" si="337"/>
        <v>0</v>
      </c>
      <c r="AB315" s="197">
        <f t="shared" ca="1" si="338"/>
        <v>0</v>
      </c>
    </row>
    <row r="316" spans="2:28" ht="18" customHeight="1">
      <c r="B316" s="606"/>
      <c r="C316" s="607"/>
      <c r="D316" s="607"/>
      <c r="E316" s="607"/>
      <c r="F316" s="608"/>
      <c r="G316" s="602"/>
      <c r="H316" s="189"/>
      <c r="I316" s="215" t="s">
        <v>33</v>
      </c>
      <c r="J316" s="199">
        <f t="shared" ref="J316:J317" si="346">+SUMIFS(J$302:J$304,$I$302:$I$304,$I$314,$H$302:$H$304,$I316)</f>
        <v>0</v>
      </c>
      <c r="K316" s="199">
        <f t="shared" si="345"/>
        <v>0</v>
      </c>
      <c r="L316" s="199">
        <f t="shared" si="345"/>
        <v>0</v>
      </c>
      <c r="M316" s="199">
        <f t="shared" si="345"/>
        <v>0</v>
      </c>
      <c r="N316" s="199">
        <f t="shared" si="345"/>
        <v>0</v>
      </c>
      <c r="O316" s="199">
        <f t="shared" si="345"/>
        <v>0</v>
      </c>
      <c r="P316" s="199">
        <f t="shared" si="345"/>
        <v>0</v>
      </c>
      <c r="Q316" s="199">
        <f t="shared" si="345"/>
        <v>0</v>
      </c>
      <c r="R316" s="199">
        <f t="shared" si="345"/>
        <v>0</v>
      </c>
      <c r="S316" s="199">
        <f t="shared" si="345"/>
        <v>0</v>
      </c>
      <c r="T316" s="199">
        <f t="shared" si="345"/>
        <v>0</v>
      </c>
      <c r="U316" s="199">
        <f t="shared" si="345"/>
        <v>75.899999999999991</v>
      </c>
      <c r="V316" s="195">
        <f t="shared" si="333"/>
        <v>75.899999999999991</v>
      </c>
      <c r="W316" s="195">
        <f t="shared" ca="1" si="334"/>
        <v>0</v>
      </c>
      <c r="Y316" s="199">
        <f t="shared" ca="1" si="335"/>
        <v>0</v>
      </c>
      <c r="Z316" s="199">
        <f t="shared" ca="1" si="336"/>
        <v>0</v>
      </c>
      <c r="AA316" s="199">
        <f t="shared" ca="1" si="337"/>
        <v>0</v>
      </c>
      <c r="AB316" s="199">
        <f t="shared" ca="1" si="338"/>
        <v>75.899999999999991</v>
      </c>
    </row>
    <row r="317" spans="2:28" ht="18" customHeight="1">
      <c r="B317" s="609"/>
      <c r="C317" s="610"/>
      <c r="D317" s="610"/>
      <c r="E317" s="610"/>
      <c r="F317" s="611"/>
      <c r="G317" s="602"/>
      <c r="H317" s="190"/>
      <c r="I317" s="216" t="s">
        <v>62</v>
      </c>
      <c r="J317" s="201">
        <f t="shared" si="346"/>
        <v>0</v>
      </c>
      <c r="K317" s="201">
        <f t="shared" si="345"/>
        <v>0</v>
      </c>
      <c r="L317" s="201">
        <f t="shared" si="345"/>
        <v>0</v>
      </c>
      <c r="M317" s="201">
        <f t="shared" si="345"/>
        <v>0</v>
      </c>
      <c r="N317" s="201">
        <f t="shared" si="345"/>
        <v>0</v>
      </c>
      <c r="O317" s="201">
        <f t="shared" si="345"/>
        <v>0</v>
      </c>
      <c r="P317" s="201">
        <f t="shared" si="345"/>
        <v>0</v>
      </c>
      <c r="Q317" s="201">
        <f t="shared" si="345"/>
        <v>0</v>
      </c>
      <c r="R317" s="201">
        <f t="shared" si="345"/>
        <v>0</v>
      </c>
      <c r="S317" s="201">
        <f t="shared" si="345"/>
        <v>0</v>
      </c>
      <c r="T317" s="201">
        <f t="shared" si="345"/>
        <v>0</v>
      </c>
      <c r="U317" s="201">
        <f t="shared" si="345"/>
        <v>0</v>
      </c>
      <c r="V317" s="196">
        <f t="shared" si="333"/>
        <v>0</v>
      </c>
      <c r="W317" s="196">
        <f t="shared" ca="1" si="334"/>
        <v>0</v>
      </c>
      <c r="Y317" s="201">
        <f t="shared" ca="1" si="335"/>
        <v>0</v>
      </c>
      <c r="Z317" s="201">
        <f t="shared" ca="1" si="336"/>
        <v>0</v>
      </c>
      <c r="AA317" s="201">
        <f t="shared" ca="1" si="337"/>
        <v>0</v>
      </c>
      <c r="AB317" s="201">
        <f t="shared" ca="1" si="338"/>
        <v>0</v>
      </c>
    </row>
    <row r="320" spans="2:28" s="171" customFormat="1" ht="18" customHeight="1">
      <c r="B320" s="191" t="s">
        <v>220</v>
      </c>
      <c r="C320" s="112"/>
      <c r="D320" s="112"/>
      <c r="E320" s="112"/>
      <c r="F320" s="112"/>
      <c r="G320" s="112"/>
      <c r="H320" s="112"/>
      <c r="I320" s="211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  <c r="U320" s="192"/>
      <c r="V320" s="193"/>
      <c r="W320" s="193"/>
      <c r="Y320" s="218"/>
      <c r="Z320" s="218"/>
      <c r="AA320" s="218"/>
      <c r="AB320" s="218"/>
    </row>
    <row r="321" spans="2:28" ht="18" customHeight="1">
      <c r="B321" s="582">
        <v>1</v>
      </c>
      <c r="C321" s="585" t="s">
        <v>216</v>
      </c>
      <c r="D321" s="585" t="s">
        <v>217</v>
      </c>
      <c r="E321" s="582" t="s">
        <v>33</v>
      </c>
      <c r="F321" s="582" t="s">
        <v>218</v>
      </c>
      <c r="G321" s="582">
        <f>75*3.3</f>
        <v>247.5</v>
      </c>
      <c r="H321" s="206" t="s">
        <v>33</v>
      </c>
      <c r="I321" s="206" t="s">
        <v>175</v>
      </c>
      <c r="J321" s="197"/>
      <c r="K321" s="197"/>
      <c r="L321" s="198"/>
      <c r="M321" s="197"/>
      <c r="N321" s="197"/>
      <c r="O321" s="197"/>
      <c r="P321" s="197"/>
      <c r="Q321" s="197"/>
      <c r="R321" s="197"/>
      <c r="S321" s="197">
        <v>115.5</v>
      </c>
      <c r="T321" s="197">
        <v>115.5</v>
      </c>
      <c r="U321" s="197">
        <v>16.5</v>
      </c>
      <c r="V321" s="194">
        <f>SUM(J321:U321)</f>
        <v>247.5</v>
      </c>
      <c r="W321" s="194">
        <f ca="1">SUM(OFFSET(J321,0,0,1,$A$1))</f>
        <v>0</v>
      </c>
      <c r="Y321" s="197">
        <f ca="1">SUM(OFFSET($J321,0,0,1,$A$2))</f>
        <v>0</v>
      </c>
      <c r="Z321" s="197">
        <f ca="1">SUM(OFFSET($M321,0,0,1,$A$2))</f>
        <v>0</v>
      </c>
      <c r="AA321" s="197">
        <f ca="1">SUM(OFFSET($P321,0,0,1,$A$2))</f>
        <v>0</v>
      </c>
      <c r="AB321" s="197">
        <f ca="1">SUM(OFFSET($S321,0,0,1,$A$2))</f>
        <v>247.5</v>
      </c>
    </row>
    <row r="322" spans="2:28" ht="18" customHeight="1">
      <c r="B322" s="583"/>
      <c r="C322" s="586"/>
      <c r="D322" s="588"/>
      <c r="E322" s="590"/>
      <c r="F322" s="590"/>
      <c r="G322" s="590"/>
      <c r="H322" s="207" t="s">
        <v>33</v>
      </c>
      <c r="I322" s="207" t="s">
        <v>176</v>
      </c>
      <c r="J322" s="199"/>
      <c r="K322" s="199"/>
      <c r="L322" s="200"/>
      <c r="M322" s="199"/>
      <c r="N322" s="199"/>
      <c r="O322" s="199"/>
      <c r="P322" s="199"/>
      <c r="Q322" s="199"/>
      <c r="R322" s="199"/>
      <c r="S322" s="199">
        <v>66</v>
      </c>
      <c r="T322" s="199">
        <v>56.099999999999994</v>
      </c>
      <c r="U322" s="199">
        <v>0</v>
      </c>
      <c r="V322" s="195">
        <f>SUM(J322:U322)</f>
        <v>122.1</v>
      </c>
      <c r="W322" s="195">
        <f ca="1">SUM(OFFSET(J322,0,0,1,$A$1))</f>
        <v>0</v>
      </c>
      <c r="Y322" s="199">
        <f ca="1">SUM(OFFSET($J322,0,0,1,$A$2))</f>
        <v>0</v>
      </c>
      <c r="Z322" s="199">
        <f ca="1">SUM(OFFSET($M322,0,0,1,$A$2))</f>
        <v>0</v>
      </c>
      <c r="AA322" s="199">
        <f ca="1">SUM(OFFSET($P322,0,0,1,$A$2))</f>
        <v>0</v>
      </c>
      <c r="AB322" s="199">
        <f ca="1">SUM(OFFSET($S322,0,0,1,$A$2))</f>
        <v>122.1</v>
      </c>
    </row>
    <row r="323" spans="2:28" ht="18" customHeight="1">
      <c r="B323" s="612"/>
      <c r="C323" s="613"/>
      <c r="D323" s="614"/>
      <c r="E323" s="615"/>
      <c r="F323" s="615"/>
      <c r="G323" s="615"/>
      <c r="H323" s="208" t="s">
        <v>33</v>
      </c>
      <c r="I323" s="208" t="s">
        <v>177</v>
      </c>
      <c r="J323" s="201"/>
      <c r="K323" s="201"/>
      <c r="L323" s="202"/>
      <c r="M323" s="201"/>
      <c r="N323" s="201"/>
      <c r="O323" s="201"/>
      <c r="P323" s="201"/>
      <c r="Q323" s="201"/>
      <c r="R323" s="201"/>
      <c r="S323" s="201"/>
      <c r="T323" s="201">
        <f>16*3.3</f>
        <v>52.8</v>
      </c>
      <c r="U323" s="201">
        <f>59*3.3</f>
        <v>194.7</v>
      </c>
      <c r="V323" s="196">
        <f>SUM(J323:U323)</f>
        <v>247.5</v>
      </c>
      <c r="W323" s="196">
        <f ca="1">SUM(OFFSET(J323,0,0,1,$A$1))</f>
        <v>0</v>
      </c>
      <c r="Y323" s="201">
        <f ca="1">SUM(OFFSET($J323,0,0,1,$A$2))</f>
        <v>0</v>
      </c>
      <c r="Z323" s="201">
        <f ca="1">SUM(OFFSET($M323,0,0,1,$A$2))</f>
        <v>0</v>
      </c>
      <c r="AA323" s="201">
        <f ca="1">SUM(OFFSET($P323,0,0,1,$A$2))</f>
        <v>0</v>
      </c>
      <c r="AB323" s="201">
        <f ca="1">SUM(OFFSET($S323,0,0,1,$A$2))</f>
        <v>247.5</v>
      </c>
    </row>
    <row r="326" spans="2:28">
      <c r="I326" s="592" t="s">
        <v>221</v>
      </c>
      <c r="J326" s="592"/>
      <c r="K326" s="592"/>
      <c r="L326" s="592"/>
      <c r="M326" s="592"/>
      <c r="N326" s="592"/>
      <c r="O326" s="592"/>
      <c r="P326" s="592"/>
      <c r="Q326" s="592"/>
      <c r="R326" s="592"/>
      <c r="S326" s="592"/>
      <c r="T326" s="592"/>
      <c r="U326" s="592"/>
    </row>
    <row r="327" spans="2:28">
      <c r="I327" s="39"/>
      <c r="J327" s="210">
        <v>45748</v>
      </c>
      <c r="K327" s="210">
        <v>45778</v>
      </c>
      <c r="L327" s="210">
        <v>45809</v>
      </c>
      <c r="M327" s="210">
        <v>45839</v>
      </c>
      <c r="N327" s="210">
        <v>45870</v>
      </c>
      <c r="O327" s="210">
        <v>45901</v>
      </c>
      <c r="P327" s="210">
        <v>45931</v>
      </c>
      <c r="Q327" s="210">
        <v>45962</v>
      </c>
      <c r="R327" s="210">
        <v>45992</v>
      </c>
      <c r="S327" s="210">
        <v>46023</v>
      </c>
      <c r="T327" s="210">
        <v>46054</v>
      </c>
      <c r="U327" s="210">
        <v>46082</v>
      </c>
    </row>
    <row r="328" spans="2:28">
      <c r="I328" s="350" t="s">
        <v>175</v>
      </c>
      <c r="J328" s="351">
        <v>1114.5</v>
      </c>
      <c r="K328" s="351">
        <v>532</v>
      </c>
      <c r="L328" s="351">
        <v>1196.4000000000001</v>
      </c>
      <c r="M328" s="351">
        <v>643.6</v>
      </c>
      <c r="N328" s="351">
        <v>26</v>
      </c>
      <c r="O328" s="351">
        <v>459</v>
      </c>
      <c r="P328" s="351">
        <v>419</v>
      </c>
      <c r="Q328" s="351">
        <v>405</v>
      </c>
      <c r="R328" s="351">
        <v>555</v>
      </c>
      <c r="S328" s="351">
        <v>262.39999999999998</v>
      </c>
      <c r="T328" s="351"/>
      <c r="U328" s="351"/>
    </row>
    <row r="329" spans="2:28">
      <c r="I329" s="350" t="s">
        <v>176</v>
      </c>
      <c r="J329" s="351">
        <v>474</v>
      </c>
      <c r="K329" s="351">
        <v>313.5</v>
      </c>
      <c r="L329" s="351">
        <v>798.7</v>
      </c>
      <c r="M329" s="351">
        <v>425.5</v>
      </c>
      <c r="N329" s="351">
        <v>503</v>
      </c>
      <c r="O329" s="351">
        <v>353</v>
      </c>
      <c r="P329" s="351">
        <v>366.5</v>
      </c>
      <c r="Q329" s="351">
        <v>458.5</v>
      </c>
      <c r="R329" s="351">
        <v>248.8</v>
      </c>
      <c r="S329" s="351">
        <v>721</v>
      </c>
      <c r="T329" s="351">
        <v>630</v>
      </c>
      <c r="U329" s="351">
        <v>320.39999999999998</v>
      </c>
    </row>
    <row r="330" spans="2:28">
      <c r="I330" s="350" t="s">
        <v>177</v>
      </c>
      <c r="J330" s="351">
        <f>J271+J114</f>
        <v>474</v>
      </c>
      <c r="K330" s="351">
        <f t="shared" ref="K330:P330" si="347">K271+K114</f>
        <v>313.5</v>
      </c>
      <c r="L330" s="351">
        <f t="shared" si="347"/>
        <v>798.7</v>
      </c>
      <c r="M330" s="351">
        <f t="shared" si="347"/>
        <v>127.6</v>
      </c>
      <c r="N330" s="351">
        <f t="shared" si="347"/>
        <v>387.3</v>
      </c>
      <c r="O330" s="351">
        <f t="shared" si="347"/>
        <v>531.20000000000005</v>
      </c>
      <c r="P330" s="351">
        <f t="shared" si="347"/>
        <v>203</v>
      </c>
      <c r="Q330" s="351">
        <v>370</v>
      </c>
      <c r="R330" s="351">
        <v>818</v>
      </c>
      <c r="S330" s="351">
        <v>972</v>
      </c>
      <c r="T330" s="351">
        <v>388</v>
      </c>
      <c r="U330" s="351">
        <v>267</v>
      </c>
    </row>
    <row r="331" spans="2:28"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</row>
    <row r="332" spans="2:28">
      <c r="I332" s="592" t="s">
        <v>222</v>
      </c>
      <c r="J332" s="592"/>
      <c r="K332" s="592"/>
      <c r="L332" s="592"/>
      <c r="M332" s="592"/>
      <c r="N332" s="592"/>
      <c r="O332" s="592"/>
      <c r="P332" s="592"/>
      <c r="Q332" s="592"/>
      <c r="R332" s="592"/>
      <c r="S332" s="592"/>
      <c r="T332" s="592"/>
      <c r="U332" s="592"/>
    </row>
    <row r="333" spans="2:28">
      <c r="I333" s="39"/>
      <c r="J333" s="210">
        <v>45748</v>
      </c>
      <c r="K333" s="210">
        <v>45778</v>
      </c>
      <c r="L333" s="210">
        <v>45809</v>
      </c>
      <c r="M333" s="210">
        <v>45839</v>
      </c>
      <c r="N333" s="210">
        <v>45870</v>
      </c>
      <c r="O333" s="210">
        <v>45901</v>
      </c>
      <c r="P333" s="210">
        <v>45931</v>
      </c>
      <c r="Q333" s="210">
        <v>45962</v>
      </c>
      <c r="R333" s="210">
        <v>45992</v>
      </c>
      <c r="S333" s="210">
        <v>46023</v>
      </c>
      <c r="T333" s="210">
        <v>46054</v>
      </c>
      <c r="U333" s="210">
        <v>46082</v>
      </c>
    </row>
    <row r="334" spans="2:28">
      <c r="I334" s="350" t="s">
        <v>175</v>
      </c>
      <c r="J334" s="352">
        <v>0</v>
      </c>
      <c r="K334" s="352">
        <v>0</v>
      </c>
      <c r="L334" s="352">
        <v>350</v>
      </c>
      <c r="M334" s="352">
        <v>0</v>
      </c>
      <c r="N334" s="352">
        <v>0</v>
      </c>
      <c r="O334" s="352">
        <v>0</v>
      </c>
      <c r="P334" s="352">
        <v>0</v>
      </c>
      <c r="Q334" s="352">
        <v>250</v>
      </c>
      <c r="R334" s="352">
        <v>484</v>
      </c>
      <c r="S334" s="352">
        <v>300</v>
      </c>
      <c r="T334" s="352">
        <v>0</v>
      </c>
      <c r="U334" s="352">
        <v>75.899999999999991</v>
      </c>
    </row>
    <row r="335" spans="2:28">
      <c r="I335" s="350" t="s">
        <v>176</v>
      </c>
      <c r="J335" s="352">
        <v>0</v>
      </c>
      <c r="K335" s="352">
        <v>0</v>
      </c>
      <c r="L335" s="352">
        <v>50</v>
      </c>
      <c r="M335" s="352">
        <v>150</v>
      </c>
      <c r="N335" s="352">
        <v>150</v>
      </c>
      <c r="O335" s="352">
        <v>0</v>
      </c>
      <c r="P335" s="352">
        <v>0</v>
      </c>
      <c r="Q335" s="352">
        <v>0</v>
      </c>
      <c r="R335" s="352">
        <v>534</v>
      </c>
      <c r="S335" s="352">
        <v>250</v>
      </c>
      <c r="T335" s="352">
        <v>250</v>
      </c>
      <c r="U335" s="352">
        <v>75.899999999999991</v>
      </c>
    </row>
    <row r="336" spans="2:28">
      <c r="I336" s="350" t="s">
        <v>177</v>
      </c>
      <c r="J336" s="352">
        <v>0</v>
      </c>
      <c r="K336" s="352">
        <v>0</v>
      </c>
      <c r="L336" s="352">
        <v>50</v>
      </c>
      <c r="M336" s="352">
        <v>0</v>
      </c>
      <c r="N336" s="352">
        <v>150</v>
      </c>
      <c r="O336" s="352">
        <v>0</v>
      </c>
      <c r="P336" s="352">
        <v>150</v>
      </c>
      <c r="Q336" s="352">
        <v>0</v>
      </c>
      <c r="R336" s="352">
        <v>0</v>
      </c>
      <c r="S336" s="352">
        <v>200</v>
      </c>
      <c r="T336" s="352">
        <v>150</v>
      </c>
      <c r="U336" s="352">
        <v>759.9</v>
      </c>
    </row>
    <row r="337" spans="10:21">
      <c r="J337" s="56"/>
      <c r="K337" s="56"/>
      <c r="L337" s="64">
        <f>L336</f>
        <v>50</v>
      </c>
      <c r="M337" s="56"/>
      <c r="N337" s="64">
        <f>N336</f>
        <v>150</v>
      </c>
      <c r="O337" s="56"/>
      <c r="P337" s="64">
        <f>P336</f>
        <v>150</v>
      </c>
      <c r="Q337" s="56"/>
      <c r="R337" s="56"/>
      <c r="S337" s="64">
        <f>S336</f>
        <v>200</v>
      </c>
      <c r="T337" s="64">
        <f>T336</f>
        <v>150</v>
      </c>
      <c r="U337" s="64">
        <f>U336-23*3.3</f>
        <v>684</v>
      </c>
    </row>
  </sheetData>
  <mergeCells count="332">
    <mergeCell ref="G72:G74"/>
    <mergeCell ref="B196:F207"/>
    <mergeCell ref="G196:G207"/>
    <mergeCell ref="B151:F162"/>
    <mergeCell ref="G151:G162"/>
    <mergeCell ref="B175:F186"/>
    <mergeCell ref="G175:G186"/>
    <mergeCell ref="Y2:AB2"/>
    <mergeCell ref="F126:F128"/>
    <mergeCell ref="G126:G128"/>
    <mergeCell ref="B18:F29"/>
    <mergeCell ref="G18:G29"/>
    <mergeCell ref="J2:U2"/>
    <mergeCell ref="F120:F122"/>
    <mergeCell ref="G120:G122"/>
    <mergeCell ref="B123:B125"/>
    <mergeCell ref="C123:C125"/>
    <mergeCell ref="D123:D125"/>
    <mergeCell ref="E123:E125"/>
    <mergeCell ref="F123:F125"/>
    <mergeCell ref="G123:G125"/>
    <mergeCell ref="G106:G117"/>
    <mergeCell ref="G33:G35"/>
    <mergeCell ref="G129:G131"/>
    <mergeCell ref="G256:G258"/>
    <mergeCell ref="F244:F246"/>
    <mergeCell ref="G244:G246"/>
    <mergeCell ref="E235:E237"/>
    <mergeCell ref="F235:F237"/>
    <mergeCell ref="G235:G237"/>
    <mergeCell ref="B238:B240"/>
    <mergeCell ref="C238:C240"/>
    <mergeCell ref="D238:D240"/>
    <mergeCell ref="F238:F240"/>
    <mergeCell ref="G238:G240"/>
    <mergeCell ref="B241:B243"/>
    <mergeCell ref="C241:C243"/>
    <mergeCell ref="D241:D243"/>
    <mergeCell ref="E241:E243"/>
    <mergeCell ref="F241:F243"/>
    <mergeCell ref="G241:G243"/>
    <mergeCell ref="B244:B246"/>
    <mergeCell ref="C244:C246"/>
    <mergeCell ref="D244:D246"/>
    <mergeCell ref="E244:E246"/>
    <mergeCell ref="D253:D255"/>
    <mergeCell ref="E253:E255"/>
    <mergeCell ref="F253:F255"/>
    <mergeCell ref="G133:G144"/>
    <mergeCell ref="F147:F149"/>
    <mergeCell ref="G147:G149"/>
    <mergeCell ref="G189:G191"/>
    <mergeCell ref="F192:F194"/>
    <mergeCell ref="G192:G194"/>
    <mergeCell ref="G171:G173"/>
    <mergeCell ref="G165:G167"/>
    <mergeCell ref="F168:F170"/>
    <mergeCell ref="G168:G170"/>
    <mergeCell ref="B133:F144"/>
    <mergeCell ref="B168:B170"/>
    <mergeCell ref="C168:C170"/>
    <mergeCell ref="B147:B149"/>
    <mergeCell ref="C147:C149"/>
    <mergeCell ref="D147:D149"/>
    <mergeCell ref="B189:B191"/>
    <mergeCell ref="C189:C191"/>
    <mergeCell ref="D189:D191"/>
    <mergeCell ref="E189:E191"/>
    <mergeCell ref="F189:F191"/>
    <mergeCell ref="B171:B173"/>
    <mergeCell ref="C171:C173"/>
    <mergeCell ref="D171:D173"/>
    <mergeCell ref="B302:B304"/>
    <mergeCell ref="C302:C304"/>
    <mergeCell ref="D302:D304"/>
    <mergeCell ref="E302:E304"/>
    <mergeCell ref="E147:E149"/>
    <mergeCell ref="B129:B131"/>
    <mergeCell ref="C129:C131"/>
    <mergeCell ref="D129:D131"/>
    <mergeCell ref="E238:E240"/>
    <mergeCell ref="B192:B194"/>
    <mergeCell ref="C192:C194"/>
    <mergeCell ref="D192:D194"/>
    <mergeCell ref="E192:E194"/>
    <mergeCell ref="B259:B261"/>
    <mergeCell ref="C259:C261"/>
    <mergeCell ref="D259:D261"/>
    <mergeCell ref="B283:B285"/>
    <mergeCell ref="B256:B258"/>
    <mergeCell ref="C256:C258"/>
    <mergeCell ref="D256:D258"/>
    <mergeCell ref="E256:E258"/>
    <mergeCell ref="B263:F274"/>
    <mergeCell ref="D168:D170"/>
    <mergeCell ref="E168:E170"/>
    <mergeCell ref="F302:F304"/>
    <mergeCell ref="G302:G304"/>
    <mergeCell ref="B247:B249"/>
    <mergeCell ref="C247:C249"/>
    <mergeCell ref="D247:D249"/>
    <mergeCell ref="E247:E249"/>
    <mergeCell ref="F247:F249"/>
    <mergeCell ref="G247:G249"/>
    <mergeCell ref="B250:B252"/>
    <mergeCell ref="C250:C252"/>
    <mergeCell ref="D250:D252"/>
    <mergeCell ref="E250:E252"/>
    <mergeCell ref="F250:F252"/>
    <mergeCell ref="G250:G252"/>
    <mergeCell ref="E259:E261"/>
    <mergeCell ref="F259:F261"/>
    <mergeCell ref="G259:G261"/>
    <mergeCell ref="C283:C285"/>
    <mergeCell ref="D283:D285"/>
    <mergeCell ref="E283:E285"/>
    <mergeCell ref="F283:F285"/>
    <mergeCell ref="G283:G285"/>
    <mergeCell ref="B253:B255"/>
    <mergeCell ref="C253:C255"/>
    <mergeCell ref="G263:G274"/>
    <mergeCell ref="B226:B228"/>
    <mergeCell ref="C226:C228"/>
    <mergeCell ref="D226:D228"/>
    <mergeCell ref="E226:E228"/>
    <mergeCell ref="F226:F228"/>
    <mergeCell ref="G226:G228"/>
    <mergeCell ref="B229:B231"/>
    <mergeCell ref="C229:C231"/>
    <mergeCell ref="D229:D231"/>
    <mergeCell ref="E229:E231"/>
    <mergeCell ref="F229:F231"/>
    <mergeCell ref="G229:G231"/>
    <mergeCell ref="B232:B234"/>
    <mergeCell ref="C232:C234"/>
    <mergeCell ref="D232:D234"/>
    <mergeCell ref="E232:E234"/>
    <mergeCell ref="F232:F234"/>
    <mergeCell ref="G232:G234"/>
    <mergeCell ref="B235:B237"/>
    <mergeCell ref="C235:C237"/>
    <mergeCell ref="D235:D237"/>
    <mergeCell ref="F256:F258"/>
    <mergeCell ref="G253:G255"/>
    <mergeCell ref="G36:G38"/>
    <mergeCell ref="G39:G41"/>
    <mergeCell ref="G42:G44"/>
    <mergeCell ref="G45:G47"/>
    <mergeCell ref="G48:G50"/>
    <mergeCell ref="G51:G53"/>
    <mergeCell ref="G54:G56"/>
    <mergeCell ref="G57:G59"/>
    <mergeCell ref="G60:G62"/>
    <mergeCell ref="G63:G65"/>
    <mergeCell ref="G69:G71"/>
    <mergeCell ref="G75:G77"/>
    <mergeCell ref="G78:G80"/>
    <mergeCell ref="G81:G83"/>
    <mergeCell ref="G84:G86"/>
    <mergeCell ref="G87:G89"/>
    <mergeCell ref="G90:G92"/>
    <mergeCell ref="B33:B35"/>
    <mergeCell ref="C33:C35"/>
    <mergeCell ref="D33:D35"/>
    <mergeCell ref="E33:E35"/>
    <mergeCell ref="F33:F35"/>
    <mergeCell ref="B36:B38"/>
    <mergeCell ref="C36:C38"/>
    <mergeCell ref="D36:D38"/>
    <mergeCell ref="E36:E38"/>
    <mergeCell ref="F36:F38"/>
    <mergeCell ref="B48:B50"/>
    <mergeCell ref="C48:C50"/>
    <mergeCell ref="D48:D50"/>
    <mergeCell ref="E48:E50"/>
    <mergeCell ref="F48:F50"/>
    <mergeCell ref="B57:B59"/>
    <mergeCell ref="G93:G95"/>
    <mergeCell ref="G96:G98"/>
    <mergeCell ref="G99:G101"/>
    <mergeCell ref="G102:G104"/>
    <mergeCell ref="B39:B41"/>
    <mergeCell ref="C39:C41"/>
    <mergeCell ref="D39:D41"/>
    <mergeCell ref="E39:E41"/>
    <mergeCell ref="F39:F41"/>
    <mergeCell ref="B45:B47"/>
    <mergeCell ref="C45:C47"/>
    <mergeCell ref="D45:D47"/>
    <mergeCell ref="E45:E47"/>
    <mergeCell ref="F45:F47"/>
    <mergeCell ref="B42:B44"/>
    <mergeCell ref="C42:C44"/>
    <mergeCell ref="D42:D44"/>
    <mergeCell ref="E42:E44"/>
    <mergeCell ref="F42:F44"/>
    <mergeCell ref="B51:B53"/>
    <mergeCell ref="C51:C53"/>
    <mergeCell ref="D51:D53"/>
    <mergeCell ref="E51:E53"/>
    <mergeCell ref="F51:F53"/>
    <mergeCell ref="C57:C59"/>
    <mergeCell ref="D57:D59"/>
    <mergeCell ref="E57:E59"/>
    <mergeCell ref="F57:F59"/>
    <mergeCell ref="B54:B56"/>
    <mergeCell ref="C54:C56"/>
    <mergeCell ref="D54:D56"/>
    <mergeCell ref="E54:E56"/>
    <mergeCell ref="F54:F56"/>
    <mergeCell ref="B63:B65"/>
    <mergeCell ref="C63:C65"/>
    <mergeCell ref="D63:D65"/>
    <mergeCell ref="E63:E65"/>
    <mergeCell ref="F63:F65"/>
    <mergeCell ref="B60:B62"/>
    <mergeCell ref="C60:C62"/>
    <mergeCell ref="D60:D62"/>
    <mergeCell ref="E60:E62"/>
    <mergeCell ref="F60:F62"/>
    <mergeCell ref="B69:B71"/>
    <mergeCell ref="C69:C71"/>
    <mergeCell ref="D69:D71"/>
    <mergeCell ref="E69:E71"/>
    <mergeCell ref="F69:F71"/>
    <mergeCell ref="B72:B74"/>
    <mergeCell ref="C72:C74"/>
    <mergeCell ref="D72:D74"/>
    <mergeCell ref="E72:E74"/>
    <mergeCell ref="F72:F74"/>
    <mergeCell ref="B78:B80"/>
    <mergeCell ref="C78:C80"/>
    <mergeCell ref="D78:D80"/>
    <mergeCell ref="E78:E80"/>
    <mergeCell ref="F78:F80"/>
    <mergeCell ref="B75:B77"/>
    <mergeCell ref="C75:C77"/>
    <mergeCell ref="D75:D77"/>
    <mergeCell ref="E75:E77"/>
    <mergeCell ref="F75:F77"/>
    <mergeCell ref="B84:B86"/>
    <mergeCell ref="C84:C86"/>
    <mergeCell ref="D84:D86"/>
    <mergeCell ref="E84:E86"/>
    <mergeCell ref="F84:F86"/>
    <mergeCell ref="B81:B83"/>
    <mergeCell ref="C81:C83"/>
    <mergeCell ref="D81:D83"/>
    <mergeCell ref="E81:E83"/>
    <mergeCell ref="F81:F83"/>
    <mergeCell ref="B90:B92"/>
    <mergeCell ref="C90:C92"/>
    <mergeCell ref="D90:D92"/>
    <mergeCell ref="E90:E92"/>
    <mergeCell ref="F90:F92"/>
    <mergeCell ref="B87:B89"/>
    <mergeCell ref="C87:C89"/>
    <mergeCell ref="D87:D89"/>
    <mergeCell ref="E87:E89"/>
    <mergeCell ref="F87:F89"/>
    <mergeCell ref="B102:B104"/>
    <mergeCell ref="C102:C104"/>
    <mergeCell ref="D102:D104"/>
    <mergeCell ref="E102:E104"/>
    <mergeCell ref="F102:F104"/>
    <mergeCell ref="B93:B95"/>
    <mergeCell ref="C93:C95"/>
    <mergeCell ref="D93:D95"/>
    <mergeCell ref="E93:E95"/>
    <mergeCell ref="F93:F95"/>
    <mergeCell ref="B99:B101"/>
    <mergeCell ref="C99:C101"/>
    <mergeCell ref="D99:D101"/>
    <mergeCell ref="E99:E101"/>
    <mergeCell ref="F99:F101"/>
    <mergeCell ref="B96:B98"/>
    <mergeCell ref="C96:C98"/>
    <mergeCell ref="D96:D98"/>
    <mergeCell ref="E96:E98"/>
    <mergeCell ref="F96:F98"/>
    <mergeCell ref="E171:E173"/>
    <mergeCell ref="F171:F173"/>
    <mergeCell ref="B165:B167"/>
    <mergeCell ref="C165:C167"/>
    <mergeCell ref="D165:D167"/>
    <mergeCell ref="E165:E167"/>
    <mergeCell ref="F165:F167"/>
    <mergeCell ref="B106:F117"/>
    <mergeCell ref="B126:B128"/>
    <mergeCell ref="C126:C128"/>
    <mergeCell ref="D126:D128"/>
    <mergeCell ref="F129:F131"/>
    <mergeCell ref="E126:E128"/>
    <mergeCell ref="B120:B122"/>
    <mergeCell ref="C120:C122"/>
    <mergeCell ref="D120:D122"/>
    <mergeCell ref="E120:E122"/>
    <mergeCell ref="E129:E131"/>
    <mergeCell ref="D277:D279"/>
    <mergeCell ref="E277:E279"/>
    <mergeCell ref="F277:F279"/>
    <mergeCell ref="G277:G279"/>
    <mergeCell ref="B280:B282"/>
    <mergeCell ref="C280:C282"/>
    <mergeCell ref="D280:D282"/>
    <mergeCell ref="E280:E282"/>
    <mergeCell ref="F280:F282"/>
    <mergeCell ref="G280:G282"/>
    <mergeCell ref="B66:B68"/>
    <mergeCell ref="C66:C68"/>
    <mergeCell ref="D66:D68"/>
    <mergeCell ref="E66:E68"/>
    <mergeCell ref="F66:F68"/>
    <mergeCell ref="G66:G68"/>
    <mergeCell ref="I326:U326"/>
    <mergeCell ref="I332:U332"/>
    <mergeCell ref="B4:F15"/>
    <mergeCell ref="G4:G15"/>
    <mergeCell ref="B287:F298"/>
    <mergeCell ref="G287:G298"/>
    <mergeCell ref="B321:B323"/>
    <mergeCell ref="C321:C323"/>
    <mergeCell ref="D321:D323"/>
    <mergeCell ref="E321:E323"/>
    <mergeCell ref="F321:F323"/>
    <mergeCell ref="G321:G323"/>
    <mergeCell ref="B211:F222"/>
    <mergeCell ref="G211:G222"/>
    <mergeCell ref="B306:F317"/>
    <mergeCell ref="G306:G317"/>
    <mergeCell ref="B277:B279"/>
    <mergeCell ref="C277:C279"/>
  </mergeCells>
  <printOptions horizontalCentered="1"/>
  <pageMargins left="0.19685039370078741" right="0.19685039370078741" top="0.15748031496062992" bottom="0.19685039370078741" header="0.31496062992125984" footer="0.31496062992125984"/>
  <pageSetup paperSize="8" scale="52" fitToHeight="0" orientation="portrait" r:id="rId1"/>
  <rowBreaks count="2" manualBreakCount="2">
    <brk id="117" min="1" max="27" man="1"/>
    <brk id="209" min="1" max="2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8F45-45A5-492F-B73C-8EA0E648BD79}">
  <sheetPr>
    <pageSetUpPr fitToPage="1"/>
  </sheetPr>
  <dimension ref="A1:S37"/>
  <sheetViews>
    <sheetView showZeros="0" view="pageBreakPreview" zoomScale="85" zoomScaleNormal="100" zoomScaleSheetLayoutView="70" workbookViewId="0">
      <pane xSplit="7" ySplit="4" topLeftCell="H9" activePane="bottomRight" state="frozen"/>
      <selection pane="bottomRight" activeCell="P16" sqref="P16"/>
      <selection pane="bottomLeft" activeCell="AF23" sqref="AE23:AP37"/>
      <selection pane="topRight" activeCell="AF23" sqref="AE23:AP37"/>
    </sheetView>
  </sheetViews>
  <sheetFormatPr defaultColWidth="9.28515625" defaultRowHeight="12.75" customHeight="1"/>
  <cols>
    <col min="1" max="1" width="5.28515625" style="3" customWidth="1"/>
    <col min="2" max="2" width="23.28515625" style="3" customWidth="1"/>
    <col min="3" max="3" width="13.7109375" style="56" bestFit="1" customWidth="1"/>
    <col min="4" max="4" width="11.42578125" style="55" customWidth="1"/>
    <col min="5" max="5" width="8.5703125" style="3" customWidth="1"/>
    <col min="6" max="6" width="5.85546875" style="3" customWidth="1"/>
    <col min="7" max="7" width="8.5703125" style="3" customWidth="1"/>
    <col min="8" max="8" width="10.28515625" style="3" customWidth="1"/>
    <col min="9" max="18" width="7.42578125" style="3" customWidth="1"/>
    <col min="19" max="19" width="7.5703125" style="3" customWidth="1"/>
    <col min="20" max="16384" width="9.28515625" style="3"/>
  </cols>
  <sheetData>
    <row r="1" spans="1:19" s="43" customFormat="1" ht="20.25" customHeight="1">
      <c r="C1" s="11"/>
      <c r="D1" s="544"/>
      <c r="H1" s="545"/>
      <c r="I1" s="43" t="s">
        <v>223</v>
      </c>
    </row>
    <row r="2" spans="1:19" ht="25.5" customHeight="1" thickBot="1">
      <c r="A2" s="546"/>
      <c r="B2" s="546"/>
      <c r="C2" s="300"/>
      <c r="D2" s="547"/>
      <c r="E2" s="546"/>
      <c r="F2" s="546"/>
      <c r="H2" s="548" t="s">
        <v>224</v>
      </c>
      <c r="I2" s="549" t="s">
        <v>225</v>
      </c>
      <c r="J2" s="546"/>
      <c r="K2" s="546"/>
      <c r="L2" s="546"/>
      <c r="M2" s="546"/>
      <c r="N2" s="546"/>
      <c r="O2" s="546"/>
      <c r="P2" s="546"/>
      <c r="Q2" s="546"/>
      <c r="R2" s="546"/>
      <c r="S2" s="546"/>
    </row>
    <row r="3" spans="1:19" ht="18.75">
      <c r="A3" s="247" t="s">
        <v>226</v>
      </c>
      <c r="B3" s="550"/>
      <c r="C3" s="248"/>
      <c r="D3" s="551"/>
      <c r="E3" s="552"/>
      <c r="F3" s="552"/>
      <c r="G3" s="552"/>
      <c r="H3" s="249"/>
      <c r="I3" s="250"/>
      <c r="J3" s="638"/>
      <c r="K3" s="638"/>
      <c r="L3" s="638"/>
      <c r="M3" s="638"/>
      <c r="N3" s="638"/>
      <c r="O3" s="638"/>
      <c r="P3" s="638"/>
      <c r="Q3" s="638"/>
      <c r="R3" s="251" t="s">
        <v>227</v>
      </c>
      <c r="S3" s="252"/>
    </row>
    <row r="4" spans="1:19" ht="40.5" customHeight="1">
      <c r="A4" s="253" t="s">
        <v>228</v>
      </c>
      <c r="B4" s="254" t="s">
        <v>3</v>
      </c>
      <c r="C4" s="254" t="s">
        <v>4</v>
      </c>
      <c r="D4" s="254" t="s">
        <v>7</v>
      </c>
      <c r="E4" s="254" t="s">
        <v>229</v>
      </c>
      <c r="F4" s="254" t="s">
        <v>230</v>
      </c>
      <c r="G4" s="254" t="s">
        <v>14</v>
      </c>
      <c r="H4" s="255">
        <v>45748</v>
      </c>
      <c r="I4" s="255">
        <v>45778</v>
      </c>
      <c r="J4" s="255">
        <v>45809</v>
      </c>
      <c r="K4" s="255">
        <v>45839</v>
      </c>
      <c r="L4" s="255">
        <v>45870</v>
      </c>
      <c r="M4" s="255">
        <v>45901</v>
      </c>
      <c r="N4" s="255">
        <v>45931</v>
      </c>
      <c r="O4" s="255">
        <v>45962</v>
      </c>
      <c r="P4" s="255">
        <v>45992</v>
      </c>
      <c r="Q4" s="255">
        <v>46023</v>
      </c>
      <c r="R4" s="255">
        <v>46054</v>
      </c>
      <c r="S4" s="256">
        <v>46082</v>
      </c>
    </row>
    <row r="5" spans="1:19" ht="20.100000000000001" customHeight="1">
      <c r="A5" s="230">
        <v>1</v>
      </c>
      <c r="B5" s="106" t="s">
        <v>231</v>
      </c>
      <c r="C5" s="224" t="s">
        <v>101</v>
      </c>
      <c r="D5" s="106" t="s">
        <v>33</v>
      </c>
      <c r="E5" s="224">
        <f>SUM(H5:S5)</f>
        <v>52</v>
      </c>
      <c r="F5" s="224">
        <f t="shared" ref="F5:F9" si="0">E5/5.2</f>
        <v>10</v>
      </c>
      <c r="G5" s="224" t="s">
        <v>39</v>
      </c>
      <c r="H5" s="542">
        <f>10*5.2</f>
        <v>52</v>
      </c>
      <c r="I5" s="561"/>
      <c r="J5" s="561"/>
      <c r="K5" s="561"/>
      <c r="L5" s="561"/>
      <c r="M5" s="561"/>
      <c r="N5" s="561"/>
      <c r="O5" s="561"/>
      <c r="P5" s="561"/>
      <c r="Q5" s="224"/>
      <c r="R5" s="224"/>
      <c r="S5" s="225"/>
    </row>
    <row r="6" spans="1:19" ht="20.100000000000001" customHeight="1">
      <c r="A6" s="230">
        <v>2</v>
      </c>
      <c r="B6" s="106" t="s">
        <v>232</v>
      </c>
      <c r="C6" s="224" t="s">
        <v>106</v>
      </c>
      <c r="D6" s="106" t="s">
        <v>62</v>
      </c>
      <c r="E6" s="224">
        <f t="shared" ref="E6:E16" si="1">SUM(H6:S6)</f>
        <v>57.2</v>
      </c>
      <c r="F6" s="224">
        <f t="shared" si="0"/>
        <v>11</v>
      </c>
      <c r="G6" s="224" t="s">
        <v>39</v>
      </c>
      <c r="H6" s="561"/>
      <c r="I6" s="542">
        <v>26</v>
      </c>
      <c r="J6" s="542">
        <f>6*5.2</f>
        <v>31.200000000000003</v>
      </c>
      <c r="K6" s="561"/>
      <c r="L6" s="561"/>
      <c r="M6" s="561"/>
      <c r="N6" s="561"/>
      <c r="O6" s="561"/>
      <c r="P6" s="561"/>
      <c r="Q6" s="224"/>
      <c r="R6" s="224"/>
      <c r="S6" s="225"/>
    </row>
    <row r="7" spans="1:19" ht="20.100000000000001" customHeight="1">
      <c r="A7" s="230">
        <v>3</v>
      </c>
      <c r="B7" s="106" t="s">
        <v>231</v>
      </c>
      <c r="C7" s="224" t="s">
        <v>50</v>
      </c>
      <c r="D7" s="106" t="s">
        <v>33</v>
      </c>
      <c r="E7" s="224">
        <f t="shared" si="1"/>
        <v>62.4</v>
      </c>
      <c r="F7" s="224">
        <f t="shared" si="0"/>
        <v>12</v>
      </c>
      <c r="G7" s="224" t="s">
        <v>39</v>
      </c>
      <c r="H7" s="542">
        <f>10*5.2</f>
        <v>52</v>
      </c>
      <c r="I7" s="561"/>
      <c r="J7" s="542">
        <f>2*5.2</f>
        <v>10.4</v>
      </c>
      <c r="K7" s="561"/>
      <c r="L7" s="561"/>
      <c r="M7" s="561"/>
      <c r="N7" s="561"/>
      <c r="O7" s="561"/>
      <c r="P7" s="561"/>
      <c r="Q7" s="224"/>
      <c r="R7" s="224"/>
      <c r="S7" s="225"/>
    </row>
    <row r="8" spans="1:19" ht="20.100000000000001" customHeight="1">
      <c r="A8" s="230">
        <v>4</v>
      </c>
      <c r="B8" s="106" t="s">
        <v>233</v>
      </c>
      <c r="C8" s="224" t="s">
        <v>95</v>
      </c>
      <c r="D8" s="106" t="s">
        <v>33</v>
      </c>
      <c r="E8" s="224">
        <f t="shared" si="1"/>
        <v>156.00000000000003</v>
      </c>
      <c r="F8" s="224">
        <f t="shared" si="0"/>
        <v>30.000000000000004</v>
      </c>
      <c r="G8" s="224" t="s">
        <v>59</v>
      </c>
      <c r="H8" s="561"/>
      <c r="I8" s="561"/>
      <c r="J8" s="542">
        <f>23*5.2</f>
        <v>119.60000000000001</v>
      </c>
      <c r="K8" s="542">
        <f>5*5.2</f>
        <v>26</v>
      </c>
      <c r="L8" s="561"/>
      <c r="M8" s="561"/>
      <c r="N8" s="561"/>
      <c r="O8" s="561"/>
      <c r="P8" s="561"/>
      <c r="Q8" s="224"/>
      <c r="R8" s="224">
        <f>2*5.2</f>
        <v>10.4</v>
      </c>
      <c r="S8" s="225"/>
    </row>
    <row r="9" spans="1:19" ht="20.100000000000001" customHeight="1">
      <c r="A9" s="230">
        <v>5</v>
      </c>
      <c r="B9" s="106" t="s">
        <v>231</v>
      </c>
      <c r="C9" s="224" t="s">
        <v>50</v>
      </c>
      <c r="D9" s="106" t="s">
        <v>33</v>
      </c>
      <c r="E9" s="224">
        <f t="shared" si="1"/>
        <v>67.600000000000009</v>
      </c>
      <c r="F9" s="224">
        <f t="shared" si="0"/>
        <v>13.000000000000002</v>
      </c>
      <c r="G9" s="224" t="s">
        <v>75</v>
      </c>
      <c r="H9" s="561"/>
      <c r="I9" s="561"/>
      <c r="J9" s="561"/>
      <c r="K9" s="542"/>
      <c r="L9" s="561"/>
      <c r="M9" s="542">
        <f>6*5.2</f>
        <v>31.200000000000003</v>
      </c>
      <c r="N9" s="561"/>
      <c r="O9" s="542">
        <f>6*5.2</f>
        <v>31.200000000000003</v>
      </c>
      <c r="P9" s="561"/>
      <c r="Q9" s="224">
        <f>1*5.2</f>
        <v>5.2</v>
      </c>
      <c r="R9" s="224"/>
      <c r="S9" s="225"/>
    </row>
    <row r="10" spans="1:19" ht="20.100000000000001" customHeight="1">
      <c r="A10" s="230">
        <v>6</v>
      </c>
      <c r="B10" s="106" t="s">
        <v>231</v>
      </c>
      <c r="C10" s="224" t="s">
        <v>208</v>
      </c>
      <c r="D10" s="106" t="s">
        <v>33</v>
      </c>
      <c r="E10" s="224">
        <f t="shared" si="1"/>
        <v>130</v>
      </c>
      <c r="F10" s="224">
        <f>E10/5.2</f>
        <v>25</v>
      </c>
      <c r="G10" s="224" t="s">
        <v>75</v>
      </c>
      <c r="H10" s="561"/>
      <c r="I10" s="561"/>
      <c r="J10" s="561"/>
      <c r="K10" s="542"/>
      <c r="L10" s="542">
        <f>24*5.2</f>
        <v>124.80000000000001</v>
      </c>
      <c r="M10" s="561"/>
      <c r="N10" s="561"/>
      <c r="O10" s="542">
        <f>1*5.2</f>
        <v>5.2</v>
      </c>
      <c r="P10" s="561"/>
      <c r="Q10" s="224"/>
      <c r="R10" s="224"/>
      <c r="S10" s="225"/>
    </row>
    <row r="11" spans="1:19" ht="20.100000000000001" customHeight="1">
      <c r="A11" s="230">
        <v>7</v>
      </c>
      <c r="B11" s="106" t="s">
        <v>234</v>
      </c>
      <c r="C11" s="224" t="s">
        <v>70</v>
      </c>
      <c r="D11" s="106" t="s">
        <v>33</v>
      </c>
      <c r="E11" s="224">
        <f t="shared" si="1"/>
        <v>15.600000000000001</v>
      </c>
      <c r="F11" s="224">
        <f t="shared" ref="F11" si="2">E11/5.2</f>
        <v>3</v>
      </c>
      <c r="G11" s="224" t="s">
        <v>75</v>
      </c>
      <c r="H11" s="561"/>
      <c r="I11" s="561"/>
      <c r="J11" s="561"/>
      <c r="K11" s="542">
        <f>3*5.2</f>
        <v>15.600000000000001</v>
      </c>
      <c r="L11" s="542"/>
      <c r="M11" s="561"/>
      <c r="N11" s="561"/>
      <c r="O11" s="542"/>
      <c r="P11" s="561"/>
      <c r="Q11" s="224"/>
      <c r="R11" s="224"/>
      <c r="S11" s="225"/>
    </row>
    <row r="12" spans="1:19" ht="20.100000000000001" customHeight="1">
      <c r="A12" s="230">
        <v>8</v>
      </c>
      <c r="B12" s="106" t="s">
        <v>234</v>
      </c>
      <c r="C12" s="224" t="s">
        <v>70</v>
      </c>
      <c r="D12" s="106" t="s">
        <v>33</v>
      </c>
      <c r="E12" s="224">
        <f t="shared" si="1"/>
        <v>26</v>
      </c>
      <c r="F12" s="224">
        <f t="shared" ref="F12:F16" si="3">E12/5.2</f>
        <v>5</v>
      </c>
      <c r="G12" s="224" t="s">
        <v>75</v>
      </c>
      <c r="H12" s="561"/>
      <c r="I12" s="561"/>
      <c r="J12" s="561"/>
      <c r="K12" s="542">
        <f>5*5.2</f>
        <v>26</v>
      </c>
      <c r="L12" s="561"/>
      <c r="M12" s="561"/>
      <c r="N12" s="561"/>
      <c r="O12" s="542"/>
      <c r="P12" s="561"/>
      <c r="Q12" s="224"/>
      <c r="R12" s="224"/>
      <c r="S12" s="225"/>
    </row>
    <row r="13" spans="1:19" ht="20.100000000000001" customHeight="1">
      <c r="A13" s="230">
        <v>9</v>
      </c>
      <c r="B13" s="106" t="s">
        <v>233</v>
      </c>
      <c r="C13" s="224" t="s">
        <v>80</v>
      </c>
      <c r="D13" s="106" t="s">
        <v>33</v>
      </c>
      <c r="E13" s="224">
        <f t="shared" si="1"/>
        <v>62.4</v>
      </c>
      <c r="F13" s="224">
        <f t="shared" si="3"/>
        <v>12</v>
      </c>
      <c r="G13" s="224" t="s">
        <v>75</v>
      </c>
      <c r="H13" s="561"/>
      <c r="I13" s="561"/>
      <c r="J13" s="561"/>
      <c r="K13" s="561"/>
      <c r="L13" s="561"/>
      <c r="M13" s="561"/>
      <c r="N13" s="561"/>
      <c r="O13" s="542"/>
      <c r="P13" s="43"/>
      <c r="Q13" s="224">
        <f>6*5.2</f>
        <v>31.200000000000003</v>
      </c>
      <c r="R13" s="224">
        <f>4*5.2</f>
        <v>20.8</v>
      </c>
      <c r="S13" s="225">
        <f>2*5.2</f>
        <v>10.4</v>
      </c>
    </row>
    <row r="14" spans="1:19" ht="20.100000000000001" customHeight="1">
      <c r="A14" s="230">
        <v>10</v>
      </c>
      <c r="B14" s="106" t="s">
        <v>235</v>
      </c>
      <c r="C14" s="224" t="s">
        <v>50</v>
      </c>
      <c r="D14" s="106" t="s">
        <v>44</v>
      </c>
      <c r="E14" s="224">
        <f t="shared" si="1"/>
        <v>202.8</v>
      </c>
      <c r="F14" s="224">
        <f t="shared" si="3"/>
        <v>39</v>
      </c>
      <c r="G14" s="224" t="s">
        <v>53</v>
      </c>
      <c r="H14" s="561"/>
      <c r="I14" s="561"/>
      <c r="J14" s="561"/>
      <c r="K14" s="561"/>
      <c r="L14" s="561"/>
      <c r="M14" s="561"/>
      <c r="N14" s="542">
        <f>15*5.2</f>
        <v>78</v>
      </c>
      <c r="O14" s="542">
        <f>9*5.2</f>
        <v>46.800000000000004</v>
      </c>
      <c r="P14" s="543">
        <f>4*5.2+7*5.2</f>
        <v>57.2</v>
      </c>
      <c r="Q14" s="224"/>
      <c r="R14" s="224"/>
      <c r="S14" s="225">
        <f>4*5.2</f>
        <v>20.8</v>
      </c>
    </row>
    <row r="15" spans="1:19" ht="20.100000000000001" customHeight="1">
      <c r="A15" s="230" t="s">
        <v>209</v>
      </c>
      <c r="B15" s="106" t="s">
        <v>231</v>
      </c>
      <c r="C15" s="224" t="s">
        <v>111</v>
      </c>
      <c r="D15" s="106" t="s">
        <v>33</v>
      </c>
      <c r="E15" s="224">
        <f>SUM(H15:S15)</f>
        <v>156</v>
      </c>
      <c r="F15" s="224">
        <f t="shared" si="3"/>
        <v>30</v>
      </c>
      <c r="G15" s="224" t="s">
        <v>136</v>
      </c>
      <c r="H15" s="561"/>
      <c r="I15" s="561"/>
      <c r="J15" s="561"/>
      <c r="K15" s="561"/>
      <c r="L15" s="561"/>
      <c r="M15" s="561"/>
      <c r="N15" s="561"/>
      <c r="O15" s="542"/>
      <c r="P15" s="43"/>
      <c r="Q15" s="224">
        <f>15*5.2</f>
        <v>78</v>
      </c>
      <c r="R15" s="224">
        <f>12*5.2</f>
        <v>62.400000000000006</v>
      </c>
      <c r="S15" s="224">
        <f>3*5.2</f>
        <v>15.600000000000001</v>
      </c>
    </row>
    <row r="16" spans="1:19" ht="20.100000000000001" customHeight="1">
      <c r="A16" s="230" t="s">
        <v>187</v>
      </c>
      <c r="B16" s="106" t="s">
        <v>231</v>
      </c>
      <c r="C16" s="224" t="s">
        <v>116</v>
      </c>
      <c r="D16" s="106" t="s">
        <v>33</v>
      </c>
      <c r="E16" s="224">
        <f t="shared" si="1"/>
        <v>140.4</v>
      </c>
      <c r="F16" s="224">
        <f t="shared" si="3"/>
        <v>27</v>
      </c>
      <c r="G16" s="224" t="s">
        <v>157</v>
      </c>
      <c r="H16" s="561"/>
      <c r="I16" s="561"/>
      <c r="J16" s="561"/>
      <c r="K16" s="561"/>
      <c r="L16" s="561"/>
      <c r="M16" s="561"/>
      <c r="N16" s="561"/>
      <c r="O16" s="542"/>
      <c r="P16" s="561"/>
      <c r="Q16" s="224"/>
      <c r="R16" s="224">
        <f>15*5.2</f>
        <v>78</v>
      </c>
      <c r="S16" s="225">
        <f>12*5.2</f>
        <v>62.400000000000006</v>
      </c>
    </row>
    <row r="17" spans="1:19" s="11" customFormat="1" ht="20.100000000000001" customHeight="1">
      <c r="A17" s="622"/>
      <c r="B17" s="624" t="s">
        <v>236</v>
      </c>
      <c r="C17" s="625"/>
      <c r="D17" s="626"/>
      <c r="E17" s="636">
        <f>SUM(E5:E16)</f>
        <v>1128.4000000000001</v>
      </c>
      <c r="F17" s="636"/>
      <c r="G17" s="636"/>
      <c r="H17" s="301">
        <f t="shared" ref="H17:S17" si="4">SUM(H5:H16)</f>
        <v>104</v>
      </c>
      <c r="I17" s="301">
        <f t="shared" si="4"/>
        <v>26</v>
      </c>
      <c r="J17" s="301">
        <f t="shared" si="4"/>
        <v>161.20000000000002</v>
      </c>
      <c r="K17" s="301">
        <f t="shared" si="4"/>
        <v>67.599999999999994</v>
      </c>
      <c r="L17" s="301">
        <f t="shared" si="4"/>
        <v>124.80000000000001</v>
      </c>
      <c r="M17" s="301">
        <f t="shared" si="4"/>
        <v>31.200000000000003</v>
      </c>
      <c r="N17" s="301">
        <f t="shared" si="4"/>
        <v>78</v>
      </c>
      <c r="O17" s="301">
        <f t="shared" si="4"/>
        <v>83.200000000000017</v>
      </c>
      <c r="P17" s="179">
        <f t="shared" si="4"/>
        <v>57.2</v>
      </c>
      <c r="Q17" s="557">
        <f t="shared" si="4"/>
        <v>114.4</v>
      </c>
      <c r="R17" s="557">
        <f t="shared" si="4"/>
        <v>171.60000000000002</v>
      </c>
      <c r="S17" s="558">
        <f t="shared" si="4"/>
        <v>109.20000000000002</v>
      </c>
    </row>
    <row r="18" spans="1:19" s="11" customFormat="1" ht="20.100000000000001" customHeight="1">
      <c r="A18" s="623"/>
      <c r="B18" s="627"/>
      <c r="C18" s="628"/>
      <c r="D18" s="629"/>
      <c r="E18" s="637"/>
      <c r="F18" s="637"/>
      <c r="G18" s="637"/>
      <c r="H18" s="630">
        <f>+SUM(H17:J17)</f>
        <v>291.20000000000005</v>
      </c>
      <c r="I18" s="631"/>
      <c r="J18" s="632"/>
      <c r="K18" s="630">
        <f>+SUM(K17:M17)</f>
        <v>223.60000000000002</v>
      </c>
      <c r="L18" s="631"/>
      <c r="M18" s="632"/>
      <c r="N18" s="630">
        <f>+SUM(N17:P17)</f>
        <v>218.40000000000003</v>
      </c>
      <c r="O18" s="631"/>
      <c r="P18" s="632"/>
      <c r="Q18" s="633">
        <f>+SUM(Q17:S17)</f>
        <v>395.20000000000005</v>
      </c>
      <c r="R18" s="634"/>
      <c r="S18" s="635"/>
    </row>
    <row r="19" spans="1:19" ht="17.25" customHeight="1">
      <c r="A19" s="622"/>
      <c r="B19" s="624" t="s">
        <v>237</v>
      </c>
      <c r="C19" s="625"/>
      <c r="D19" s="626"/>
      <c r="E19" s="636"/>
      <c r="F19" s="636">
        <f>SUM(F5:F16)</f>
        <v>217</v>
      </c>
      <c r="G19" s="636"/>
      <c r="H19" s="301">
        <f>+H17/5.2</f>
        <v>20</v>
      </c>
      <c r="I19" s="301">
        <f t="shared" ref="I19:S19" si="5">+I17/5.2</f>
        <v>5</v>
      </c>
      <c r="J19" s="301">
        <f t="shared" si="5"/>
        <v>31.000000000000004</v>
      </c>
      <c r="K19" s="301">
        <f t="shared" si="5"/>
        <v>12.999999999999998</v>
      </c>
      <c r="L19" s="301">
        <f t="shared" si="5"/>
        <v>24</v>
      </c>
      <c r="M19" s="301">
        <f t="shared" si="5"/>
        <v>6</v>
      </c>
      <c r="N19" s="301">
        <f t="shared" si="5"/>
        <v>15</v>
      </c>
      <c r="O19" s="301">
        <f t="shared" si="5"/>
        <v>16.000000000000004</v>
      </c>
      <c r="P19" s="301">
        <f t="shared" si="5"/>
        <v>11</v>
      </c>
      <c r="Q19" s="559">
        <f t="shared" si="5"/>
        <v>22</v>
      </c>
      <c r="R19" s="559">
        <f t="shared" si="5"/>
        <v>33</v>
      </c>
      <c r="S19" s="560">
        <f t="shared" si="5"/>
        <v>21.000000000000004</v>
      </c>
    </row>
    <row r="20" spans="1:19" s="11" customFormat="1" ht="20.100000000000001" customHeight="1">
      <c r="A20" s="623"/>
      <c r="B20" s="627"/>
      <c r="C20" s="628"/>
      <c r="D20" s="629"/>
      <c r="E20" s="637"/>
      <c r="F20" s="637"/>
      <c r="G20" s="637"/>
      <c r="H20" s="630">
        <f>+SUM(H19:J19)</f>
        <v>56</v>
      </c>
      <c r="I20" s="631"/>
      <c r="J20" s="632"/>
      <c r="K20" s="630">
        <f>+SUM(K19:M19)</f>
        <v>43</v>
      </c>
      <c r="L20" s="631"/>
      <c r="M20" s="632"/>
      <c r="N20" s="630">
        <f>+SUM(N19:P19)</f>
        <v>42</v>
      </c>
      <c r="O20" s="631"/>
      <c r="P20" s="632"/>
      <c r="Q20" s="633">
        <f>+SUM(Q19:S19)</f>
        <v>76</v>
      </c>
      <c r="R20" s="634"/>
      <c r="S20" s="635"/>
    </row>
    <row r="21" spans="1:19" s="11" customFormat="1" ht="8.25" customHeight="1">
      <c r="A21" s="419"/>
      <c r="B21" s="420"/>
      <c r="C21" s="420"/>
      <c r="D21" s="420"/>
      <c r="H21" s="421"/>
      <c r="I21" s="421"/>
      <c r="J21" s="421"/>
      <c r="K21" s="421"/>
      <c r="L21" s="421"/>
      <c r="M21" s="421"/>
      <c r="N21" s="422"/>
      <c r="O21" s="422"/>
      <c r="P21" s="422"/>
      <c r="Q21" s="422"/>
      <c r="R21" s="422"/>
      <c r="S21" s="423"/>
    </row>
    <row r="22" spans="1:19" ht="23.25" customHeight="1">
      <c r="A22" s="424" t="s">
        <v>238</v>
      </c>
      <c r="B22" s="553"/>
      <c r="C22" s="553"/>
      <c r="D22" s="554"/>
      <c r="E22" s="553"/>
      <c r="F22" s="553"/>
      <c r="G22" s="553"/>
      <c r="H22" s="553"/>
      <c r="I22" s="553"/>
      <c r="J22" s="553"/>
      <c r="K22" s="553"/>
      <c r="L22" s="553"/>
      <c r="M22" s="553"/>
      <c r="N22" s="553"/>
      <c r="O22" s="553"/>
      <c r="P22" s="553"/>
      <c r="Q22" s="553"/>
      <c r="R22" s="553"/>
      <c r="S22" s="555"/>
    </row>
    <row r="23" spans="1:19" ht="23.25" customHeight="1">
      <c r="A23" s="305" t="s">
        <v>212</v>
      </c>
      <c r="B23" s="243" t="s">
        <v>231</v>
      </c>
      <c r="C23" s="243" t="s">
        <v>111</v>
      </c>
      <c r="D23" s="243" t="s">
        <v>33</v>
      </c>
      <c r="E23" s="242">
        <f t="shared" ref="E23:E27" si="6">SUM(H23:S23)</f>
        <v>98.800000000000011</v>
      </c>
      <c r="F23" s="242">
        <f t="shared" ref="F23:F27" si="7">E23/5.2</f>
        <v>19</v>
      </c>
      <c r="G23" s="242"/>
      <c r="H23" s="245">
        <f>SUM(H24:H25)</f>
        <v>0</v>
      </c>
      <c r="I23" s="245">
        <f t="shared" ref="I23:R23" si="8">SUM(I24:I25)</f>
        <v>0</v>
      </c>
      <c r="J23" s="245">
        <f t="shared" si="8"/>
        <v>0</v>
      </c>
      <c r="K23" s="245">
        <f t="shared" si="8"/>
        <v>0</v>
      </c>
      <c r="L23" s="245">
        <f t="shared" si="8"/>
        <v>0</v>
      </c>
      <c r="M23" s="245">
        <f t="shared" si="8"/>
        <v>0</v>
      </c>
      <c r="N23" s="245">
        <f t="shared" si="8"/>
        <v>0</v>
      </c>
      <c r="O23" s="245">
        <f t="shared" si="8"/>
        <v>0</v>
      </c>
      <c r="P23" s="245">
        <f t="shared" si="8"/>
        <v>0</v>
      </c>
      <c r="Q23" s="245">
        <f t="shared" si="8"/>
        <v>10.4</v>
      </c>
      <c r="R23" s="245">
        <f t="shared" si="8"/>
        <v>15.600000000000001</v>
      </c>
      <c r="S23" s="306">
        <f>SUM(S24:S25)</f>
        <v>72.800000000000011</v>
      </c>
    </row>
    <row r="24" spans="1:19" ht="23.25" customHeight="1">
      <c r="A24" s="307"/>
      <c r="B24" s="227"/>
      <c r="C24" s="227"/>
      <c r="D24" s="227"/>
      <c r="E24" s="415">
        <f>SUM(H24:S24)</f>
        <v>31.2</v>
      </c>
      <c r="F24" s="415">
        <f t="shared" ref="F24:F25" si="9">E24/5.2</f>
        <v>6</v>
      </c>
      <c r="G24" s="415" t="s">
        <v>136</v>
      </c>
      <c r="H24" s="416"/>
      <c r="I24" s="416"/>
      <c r="J24" s="416"/>
      <c r="K24" s="416"/>
      <c r="L24" s="416"/>
      <c r="M24" s="416"/>
      <c r="N24" s="416"/>
      <c r="O24" s="416"/>
      <c r="Q24" s="416">
        <f>2*5.2</f>
        <v>10.4</v>
      </c>
      <c r="R24" s="416">
        <f>3*5.2</f>
        <v>15.600000000000001</v>
      </c>
      <c r="S24" s="416">
        <f>1*5.2</f>
        <v>5.2</v>
      </c>
    </row>
    <row r="25" spans="1:19" ht="23.25" customHeight="1">
      <c r="A25" s="307"/>
      <c r="B25" s="227"/>
      <c r="C25" s="227"/>
      <c r="D25" s="227"/>
      <c r="E25" s="415">
        <f t="shared" ref="E25" si="10">SUM(H25:S25)</f>
        <v>67.600000000000009</v>
      </c>
      <c r="F25" s="415">
        <f t="shared" si="9"/>
        <v>13.000000000000002</v>
      </c>
      <c r="G25" s="415" t="s">
        <v>159</v>
      </c>
      <c r="H25" s="416"/>
      <c r="I25" s="416"/>
      <c r="J25" s="416"/>
      <c r="K25" s="416"/>
      <c r="L25" s="416"/>
      <c r="M25" s="416"/>
      <c r="N25" s="416"/>
      <c r="O25" s="416"/>
      <c r="P25" s="416"/>
      <c r="Q25" s="416"/>
      <c r="R25" s="416"/>
      <c r="S25" s="417">
        <f>13*5.2</f>
        <v>67.600000000000009</v>
      </c>
    </row>
    <row r="26" spans="1:19" ht="23.25" customHeight="1">
      <c r="A26" s="230" t="s">
        <v>188</v>
      </c>
      <c r="B26" s="106" t="s">
        <v>231</v>
      </c>
      <c r="C26" s="106" t="s">
        <v>116</v>
      </c>
      <c r="D26" s="106" t="s">
        <v>33</v>
      </c>
      <c r="E26" s="224">
        <f t="shared" si="6"/>
        <v>312</v>
      </c>
      <c r="F26" s="224">
        <f t="shared" si="7"/>
        <v>60</v>
      </c>
      <c r="G26" s="224" t="s">
        <v>159</v>
      </c>
      <c r="H26" s="226"/>
      <c r="I26" s="226"/>
      <c r="J26" s="226"/>
      <c r="K26" s="226"/>
      <c r="L26" s="226"/>
      <c r="M26" s="226"/>
      <c r="N26" s="226"/>
      <c r="O26" s="226"/>
      <c r="P26" s="226"/>
      <c r="Q26" s="226">
        <f>7*5.2</f>
        <v>36.4</v>
      </c>
      <c r="R26" s="226">
        <f>26*5.2</f>
        <v>135.20000000000002</v>
      </c>
      <c r="S26" s="308">
        <f>27*5.2</f>
        <v>140.4</v>
      </c>
    </row>
    <row r="27" spans="1:19" ht="23.25" customHeight="1">
      <c r="A27" s="230">
        <v>13</v>
      </c>
      <c r="B27" s="106" t="s">
        <v>30</v>
      </c>
      <c r="C27" s="106" t="s">
        <v>186</v>
      </c>
      <c r="D27" s="106" t="s">
        <v>33</v>
      </c>
      <c r="E27" s="224">
        <f t="shared" si="6"/>
        <v>10.4</v>
      </c>
      <c r="F27" s="224">
        <f t="shared" si="7"/>
        <v>2</v>
      </c>
      <c r="G27" s="224" t="s">
        <v>35</v>
      </c>
      <c r="H27" s="226"/>
      <c r="I27" s="226"/>
      <c r="J27" s="226"/>
      <c r="K27" s="226"/>
      <c r="L27" s="226"/>
      <c r="M27" s="226"/>
      <c r="N27" s="226"/>
      <c r="O27" s="226"/>
      <c r="P27" s="226"/>
      <c r="Q27" s="226">
        <f>2*5.2</f>
        <v>10.4</v>
      </c>
      <c r="R27" s="226"/>
      <c r="S27" s="308"/>
    </row>
    <row r="28" spans="1:19" ht="23.25" customHeight="1">
      <c r="A28" s="309"/>
      <c r="B28" s="28" t="s">
        <v>239</v>
      </c>
      <c r="C28" s="28"/>
      <c r="D28" s="28"/>
      <c r="E28" s="29">
        <f>SUM(E23:E27)</f>
        <v>520</v>
      </c>
      <c r="F28" s="29">
        <f>SUM(F24:F27)</f>
        <v>81</v>
      </c>
      <c r="G28" s="29"/>
      <c r="H28" s="258">
        <f>SUM(H24:H27)</f>
        <v>0</v>
      </c>
      <c r="I28" s="258">
        <f t="shared" ref="I28:R28" si="11">SUM(I24:I27)</f>
        <v>0</v>
      </c>
      <c r="J28" s="258">
        <f t="shared" si="11"/>
        <v>0</v>
      </c>
      <c r="K28" s="258">
        <f t="shared" si="11"/>
        <v>0</v>
      </c>
      <c r="L28" s="258">
        <f t="shared" si="11"/>
        <v>0</v>
      </c>
      <c r="M28" s="258">
        <f t="shared" si="11"/>
        <v>0</v>
      </c>
      <c r="N28" s="258">
        <f t="shared" si="11"/>
        <v>0</v>
      </c>
      <c r="O28" s="258">
        <f t="shared" si="11"/>
        <v>0</v>
      </c>
      <c r="P28" s="258">
        <f t="shared" si="11"/>
        <v>0</v>
      </c>
      <c r="Q28" s="559">
        <f t="shared" si="11"/>
        <v>57.199999999999996</v>
      </c>
      <c r="R28" s="559">
        <f t="shared" si="11"/>
        <v>150.80000000000001</v>
      </c>
      <c r="S28" s="560">
        <f>SUM(S24:S27)</f>
        <v>213.20000000000002</v>
      </c>
    </row>
    <row r="29" spans="1:19" ht="12.75" customHeight="1">
      <c r="A29" s="556"/>
      <c r="Q29" s="562"/>
      <c r="R29" s="562"/>
      <c r="S29" s="563"/>
    </row>
    <row r="30" spans="1:19" ht="23.25" customHeight="1" thickBot="1">
      <c r="A30" s="310"/>
      <c r="B30" s="311" t="s">
        <v>236</v>
      </c>
      <c r="C30" s="311"/>
      <c r="D30" s="311"/>
      <c r="E30" s="312">
        <f t="shared" ref="E30:S30" si="12">+E28+E17</f>
        <v>1648.4</v>
      </c>
      <c r="F30" s="312">
        <f t="shared" si="12"/>
        <v>81</v>
      </c>
      <c r="G30" s="312">
        <f t="shared" si="12"/>
        <v>0</v>
      </c>
      <c r="H30" s="313">
        <f t="shared" si="12"/>
        <v>104</v>
      </c>
      <c r="I30" s="313">
        <f t="shared" si="12"/>
        <v>26</v>
      </c>
      <c r="J30" s="313">
        <f t="shared" si="12"/>
        <v>161.20000000000002</v>
      </c>
      <c r="K30" s="313">
        <f t="shared" si="12"/>
        <v>67.599999999999994</v>
      </c>
      <c r="L30" s="313">
        <f t="shared" si="12"/>
        <v>124.80000000000001</v>
      </c>
      <c r="M30" s="313">
        <f t="shared" si="12"/>
        <v>31.200000000000003</v>
      </c>
      <c r="N30" s="313">
        <f t="shared" si="12"/>
        <v>78</v>
      </c>
      <c r="O30" s="313">
        <f t="shared" si="12"/>
        <v>83.200000000000017</v>
      </c>
      <c r="P30" s="313">
        <f t="shared" si="12"/>
        <v>57.2</v>
      </c>
      <c r="Q30" s="564">
        <f t="shared" si="12"/>
        <v>171.6</v>
      </c>
      <c r="R30" s="564">
        <f t="shared" si="12"/>
        <v>322.40000000000003</v>
      </c>
      <c r="S30" s="565">
        <f t="shared" si="12"/>
        <v>322.40000000000003</v>
      </c>
    </row>
    <row r="32" spans="1:19" ht="19.5" customHeight="1">
      <c r="H32" s="29"/>
      <c r="I32" s="29" t="s">
        <v>240</v>
      </c>
      <c r="J32" s="29" t="s">
        <v>241</v>
      </c>
    </row>
    <row r="33" spans="8:10" ht="19.5" customHeight="1">
      <c r="H33" s="567" t="s">
        <v>242</v>
      </c>
      <c r="I33" s="352">
        <v>1128</v>
      </c>
      <c r="J33" s="352">
        <v>217</v>
      </c>
    </row>
    <row r="34" spans="8:10" ht="19.5" customHeight="1">
      <c r="H34" s="567" t="s">
        <v>243</v>
      </c>
      <c r="I34" s="352">
        <v>1549.6</v>
      </c>
      <c r="J34" s="352">
        <f>I34/5.2</f>
        <v>298</v>
      </c>
    </row>
    <row r="35" spans="8:10" ht="29.25" customHeight="1">
      <c r="H35" s="568" t="s">
        <v>244</v>
      </c>
      <c r="I35" s="569">
        <f>J35*5.2</f>
        <v>733.2</v>
      </c>
      <c r="J35" s="569">
        <v>141</v>
      </c>
    </row>
    <row r="36" spans="8:10" ht="31.5" customHeight="1">
      <c r="H36" s="566" t="s">
        <v>245</v>
      </c>
      <c r="I36" s="352">
        <f>I33-I35</f>
        <v>394.79999999999995</v>
      </c>
      <c r="J36" s="352">
        <f>J33-J35</f>
        <v>76</v>
      </c>
    </row>
    <row r="37" spans="8:10" ht="31.5" customHeight="1">
      <c r="H37" s="566" t="s">
        <v>246</v>
      </c>
      <c r="I37" s="352">
        <f>I34-I35</f>
        <v>816.39999999999986</v>
      </c>
      <c r="J37" s="352">
        <f>J34-J35</f>
        <v>157</v>
      </c>
    </row>
  </sheetData>
  <mergeCells count="19">
    <mergeCell ref="J3:Q3"/>
    <mergeCell ref="H18:J18"/>
    <mergeCell ref="K18:M18"/>
    <mergeCell ref="N18:P18"/>
    <mergeCell ref="Q18:S18"/>
    <mergeCell ref="K20:M20"/>
    <mergeCell ref="N20:P20"/>
    <mergeCell ref="Q20:S20"/>
    <mergeCell ref="E17:E18"/>
    <mergeCell ref="F17:F18"/>
    <mergeCell ref="E19:E20"/>
    <mergeCell ref="F19:F20"/>
    <mergeCell ref="G17:G18"/>
    <mergeCell ref="G19:G20"/>
    <mergeCell ref="A17:A18"/>
    <mergeCell ref="A19:A20"/>
    <mergeCell ref="B17:D18"/>
    <mergeCell ref="B19:D20"/>
    <mergeCell ref="H20:J20"/>
  </mergeCells>
  <pageMargins left="0.31496062992125984" right="0.31496062992125984" top="0.74803149606299213" bottom="0.74803149606299213" header="0.31496062992125984" footer="0.31496062992125984"/>
  <pageSetup paperSize="8" scale="9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6540-C258-42A5-B27F-4341F96342BE}">
  <sheetPr codeName="Sheet4">
    <pageSetUpPr fitToPage="1"/>
  </sheetPr>
  <dimension ref="A1:BD55"/>
  <sheetViews>
    <sheetView showGridLines="0" showZeros="0" topLeftCell="B1" zoomScale="85" zoomScaleNormal="85" zoomScaleSheetLayoutView="70" workbookViewId="0">
      <pane xSplit="4" ySplit="4" topLeftCell="K26" activePane="bottomRight" state="frozen"/>
      <selection pane="bottomRight" activeCell="X15" sqref="X15"/>
      <selection pane="bottomLeft" activeCell="B5" sqref="B5"/>
      <selection pane="topRight" activeCell="F1" sqref="F1"/>
    </sheetView>
  </sheetViews>
  <sheetFormatPr defaultColWidth="9.28515625" defaultRowHeight="13.5"/>
  <cols>
    <col min="1" max="1" width="7.140625" customWidth="1"/>
    <col min="2" max="2" width="17.85546875" customWidth="1"/>
    <col min="3" max="3" width="11" customWidth="1"/>
    <col min="4" max="4" width="6.28515625" customWidth="1"/>
    <col min="5" max="5" width="13.28515625" style="2" hidden="1" customWidth="1"/>
    <col min="6" max="6" width="8.7109375" style="2" customWidth="1"/>
    <col min="7" max="7" width="7.5703125" style="2" customWidth="1"/>
    <col min="8" max="8" width="9.42578125" style="2" customWidth="1"/>
    <col min="9" max="9" width="10.140625" customWidth="1"/>
    <col min="10" max="10" width="5.28515625" customWidth="1"/>
    <col min="11" max="11" width="8.85546875" customWidth="1"/>
    <col min="12" max="12" width="7.42578125" customWidth="1"/>
    <col min="13" max="13" width="12.140625" style="2" hidden="1" customWidth="1"/>
    <col min="14" max="14" width="10.140625" style="2" customWidth="1"/>
    <col min="15" max="24" width="7.42578125" customWidth="1"/>
    <col min="25" max="25" width="8.28515625" customWidth="1"/>
    <col min="26" max="26" width="7.7109375" customWidth="1"/>
    <col min="27" max="27" width="1.85546875" customWidth="1"/>
    <col min="28" max="30" width="8.5703125" customWidth="1"/>
    <col min="31" max="31" width="1.28515625" customWidth="1"/>
    <col min="32" max="34" width="9.28515625" customWidth="1"/>
    <col min="35" max="35" width="12.7109375" customWidth="1"/>
    <col min="36" max="36" width="1.7109375" customWidth="1"/>
    <col min="37" max="39" width="9.28515625" customWidth="1"/>
    <col min="41" max="54" width="9.28515625" customWidth="1"/>
  </cols>
  <sheetData>
    <row r="1" spans="1:56">
      <c r="F1"/>
    </row>
    <row r="2" spans="1:56" ht="33.75" customHeight="1">
      <c r="A2" s="12" t="s">
        <v>247</v>
      </c>
      <c r="B2" s="3"/>
      <c r="C2" s="3"/>
      <c r="D2" s="3"/>
      <c r="E2" s="3"/>
      <c r="F2" s="3"/>
      <c r="G2" s="3"/>
      <c r="H2" s="3"/>
      <c r="I2" s="56"/>
      <c r="J2" s="56"/>
      <c r="K2" s="64"/>
      <c r="L2" s="56"/>
      <c r="M2" s="57"/>
      <c r="N2" s="57"/>
      <c r="O2" s="56"/>
      <c r="P2" s="540"/>
      <c r="Q2" s="530" t="s">
        <v>248</v>
      </c>
      <c r="S2" s="269"/>
      <c r="T2" s="269"/>
      <c r="W2" s="269"/>
      <c r="X2" s="221"/>
      <c r="Y2" s="640">
        <v>46021</v>
      </c>
      <c r="Z2" s="640"/>
      <c r="AA2" s="3"/>
      <c r="AB2" s="639" t="s">
        <v>249</v>
      </c>
      <c r="AC2" s="639"/>
      <c r="AD2" s="639"/>
      <c r="AF2" s="639" t="s">
        <v>250</v>
      </c>
      <c r="AG2" s="639"/>
      <c r="AH2" s="639"/>
      <c r="AI2" s="639"/>
      <c r="AK2" s="639" t="s">
        <v>251</v>
      </c>
      <c r="AL2" s="639"/>
    </row>
    <row r="3" spans="1:56" ht="56.25" customHeight="1">
      <c r="A3" s="24" t="s">
        <v>2</v>
      </c>
      <c r="B3" s="25" t="s">
        <v>3</v>
      </c>
      <c r="C3" s="25" t="s">
        <v>4</v>
      </c>
      <c r="D3" s="26" t="s">
        <v>5</v>
      </c>
      <c r="E3" s="25" t="s">
        <v>7</v>
      </c>
      <c r="F3" s="25" t="s">
        <v>7</v>
      </c>
      <c r="G3" s="25" t="s">
        <v>8</v>
      </c>
      <c r="H3" s="26" t="s">
        <v>9</v>
      </c>
      <c r="I3" s="25" t="s">
        <v>11</v>
      </c>
      <c r="J3" s="25" t="s">
        <v>12</v>
      </c>
      <c r="K3" s="25" t="s">
        <v>13</v>
      </c>
      <c r="L3" s="25" t="s">
        <v>14</v>
      </c>
      <c r="M3" s="25" t="s">
        <v>15</v>
      </c>
      <c r="N3" s="25" t="s">
        <v>16</v>
      </c>
      <c r="O3" s="40">
        <v>45748</v>
      </c>
      <c r="P3" s="40">
        <v>45778</v>
      </c>
      <c r="Q3" s="40">
        <v>45809</v>
      </c>
      <c r="R3" s="40">
        <v>45839</v>
      </c>
      <c r="S3" s="41">
        <v>45870</v>
      </c>
      <c r="T3" s="40">
        <v>45901</v>
      </c>
      <c r="U3" s="40">
        <v>45931</v>
      </c>
      <c r="V3" s="40">
        <v>45962</v>
      </c>
      <c r="W3" s="40">
        <v>45992</v>
      </c>
      <c r="X3" s="40">
        <v>46023</v>
      </c>
      <c r="Y3" s="40">
        <v>46054</v>
      </c>
      <c r="Z3" s="40">
        <v>46082</v>
      </c>
      <c r="AB3" s="279" t="s">
        <v>252</v>
      </c>
      <c r="AC3" s="40" t="s">
        <v>253</v>
      </c>
      <c r="AD3" s="79" t="s">
        <v>254</v>
      </c>
      <c r="AF3" s="354" t="s">
        <v>255</v>
      </c>
      <c r="AG3" s="355" t="s">
        <v>256</v>
      </c>
      <c r="AH3" s="355" t="s">
        <v>257</v>
      </c>
      <c r="AI3" s="355" t="s">
        <v>258</v>
      </c>
      <c r="AK3" s="354" t="s">
        <v>259</v>
      </c>
      <c r="AL3" s="355" t="s">
        <v>260</v>
      </c>
    </row>
    <row r="4" spans="1:56" ht="19.5" customHeight="1">
      <c r="A4" s="271" t="s">
        <v>185</v>
      </c>
      <c r="B4" s="272"/>
      <c r="C4" s="272"/>
      <c r="D4" s="273"/>
      <c r="E4" s="272"/>
      <c r="F4" s="272"/>
      <c r="G4" s="272"/>
      <c r="H4" s="273"/>
      <c r="I4" s="272"/>
      <c r="J4" s="272"/>
      <c r="K4" s="272"/>
      <c r="L4" s="272"/>
      <c r="M4" s="272"/>
      <c r="N4" s="272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B4" s="275"/>
      <c r="AC4" s="274"/>
      <c r="AD4" s="276"/>
      <c r="AF4" s="275"/>
      <c r="AG4" s="274"/>
      <c r="AH4" s="274"/>
      <c r="AI4" s="274"/>
      <c r="AK4" s="357"/>
      <c r="AL4" s="356"/>
    </row>
    <row r="5" spans="1:56" s="3" customFormat="1" ht="25.15" customHeight="1">
      <c r="A5" s="9">
        <v>1</v>
      </c>
      <c r="B5" s="16" t="s">
        <v>30</v>
      </c>
      <c r="C5" s="16" t="s">
        <v>31</v>
      </c>
      <c r="D5" s="7" t="s">
        <v>32</v>
      </c>
      <c r="E5" s="16" t="s">
        <v>33</v>
      </c>
      <c r="F5" s="13" t="s">
        <v>33</v>
      </c>
      <c r="G5" s="7" t="s">
        <v>34</v>
      </c>
      <c r="H5" s="7" t="s">
        <v>74</v>
      </c>
      <c r="I5" s="7">
        <v>250</v>
      </c>
      <c r="J5" s="297">
        <v>1.37</v>
      </c>
      <c r="K5" s="5">
        <f t="shared" ref="K5:K11" si="0">I5*J5</f>
        <v>342.5</v>
      </c>
      <c r="L5" s="7" t="s">
        <v>35</v>
      </c>
      <c r="M5" s="268">
        <v>45612</v>
      </c>
      <c r="N5" s="17"/>
      <c r="O5" s="93"/>
      <c r="P5" s="93">
        <v>75</v>
      </c>
      <c r="Q5" s="93">
        <v>50</v>
      </c>
      <c r="R5" s="93"/>
      <c r="S5" s="93">
        <v>125</v>
      </c>
      <c r="T5" s="93">
        <v>0</v>
      </c>
      <c r="U5" s="93"/>
      <c r="V5" s="93"/>
      <c r="W5" s="7"/>
      <c r="X5" s="7"/>
      <c r="Y5" s="7"/>
      <c r="Z5" s="8"/>
      <c r="AA5" s="353"/>
      <c r="AB5" s="9">
        <v>0</v>
      </c>
      <c r="AC5" s="7">
        <v>0</v>
      </c>
      <c r="AD5" s="8">
        <v>0</v>
      </c>
      <c r="AF5" s="513" t="s">
        <v>261</v>
      </c>
      <c r="AG5" s="514" t="s">
        <v>261</v>
      </c>
      <c r="AH5" s="514" t="s">
        <v>261</v>
      </c>
      <c r="AI5" s="515" t="s">
        <v>261</v>
      </c>
      <c r="AK5" s="242"/>
      <c r="AL5" s="242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 s="3" customFormat="1" ht="25.15" customHeight="1">
      <c r="A6" s="317">
        <v>2</v>
      </c>
      <c r="B6" s="318" t="s">
        <v>30</v>
      </c>
      <c r="C6" s="318" t="s">
        <v>31</v>
      </c>
      <c r="D6" s="319" t="s">
        <v>38</v>
      </c>
      <c r="E6" s="318" t="s">
        <v>33</v>
      </c>
      <c r="F6" s="320" t="s">
        <v>33</v>
      </c>
      <c r="G6" s="319" t="s">
        <v>34</v>
      </c>
      <c r="H6" s="319" t="s">
        <v>74</v>
      </c>
      <c r="I6" s="319">
        <v>50</v>
      </c>
      <c r="J6" s="321">
        <v>1.37</v>
      </c>
      <c r="K6" s="322">
        <f t="shared" si="0"/>
        <v>68.5</v>
      </c>
      <c r="L6" s="319" t="s">
        <v>39</v>
      </c>
      <c r="M6" s="323">
        <v>45714</v>
      </c>
      <c r="N6" s="324"/>
      <c r="O6" s="532"/>
      <c r="P6" s="532">
        <v>50</v>
      </c>
      <c r="Q6" s="532">
        <v>0</v>
      </c>
      <c r="R6" s="532">
        <v>0</v>
      </c>
      <c r="S6" s="532">
        <v>0</v>
      </c>
      <c r="T6" s="532">
        <v>0</v>
      </c>
      <c r="U6" s="532"/>
      <c r="V6" s="532"/>
      <c r="W6" s="533"/>
      <c r="X6" s="533"/>
      <c r="Y6" s="533"/>
      <c r="Z6" s="534"/>
      <c r="AA6" s="353"/>
      <c r="AB6" s="317">
        <v>0</v>
      </c>
      <c r="AC6" s="319">
        <v>0</v>
      </c>
      <c r="AD6" s="325">
        <v>0</v>
      </c>
      <c r="AF6" s="516" t="s">
        <v>261</v>
      </c>
      <c r="AG6" s="334" t="s">
        <v>261</v>
      </c>
      <c r="AH6" s="334" t="s">
        <v>261</v>
      </c>
      <c r="AI6" s="517" t="s">
        <v>261</v>
      </c>
      <c r="AJ6" s="326"/>
      <c r="AK6" s="327"/>
      <c r="AL6" s="327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 s="3" customFormat="1" ht="25.15" customHeight="1">
      <c r="A7" s="9">
        <v>3</v>
      </c>
      <c r="B7" s="16" t="s">
        <v>41</v>
      </c>
      <c r="C7" s="16" t="s">
        <v>42</v>
      </c>
      <c r="D7" s="7" t="s">
        <v>43</v>
      </c>
      <c r="E7" s="16" t="s">
        <v>44</v>
      </c>
      <c r="F7" s="13" t="s">
        <v>44</v>
      </c>
      <c r="G7" s="7" t="s">
        <v>34</v>
      </c>
      <c r="H7" s="7" t="s">
        <v>113</v>
      </c>
      <c r="I7" s="7">
        <v>187.5</v>
      </c>
      <c r="J7" s="297">
        <v>1.36</v>
      </c>
      <c r="K7" s="5">
        <f t="shared" si="0"/>
        <v>255.00000000000003</v>
      </c>
      <c r="L7" s="7" t="s">
        <v>45</v>
      </c>
      <c r="M7" s="268">
        <v>45708</v>
      </c>
      <c r="N7" s="109" t="s">
        <v>262</v>
      </c>
      <c r="O7" s="535">
        <v>75</v>
      </c>
      <c r="P7" s="535">
        <v>112.5</v>
      </c>
      <c r="Q7" s="535">
        <v>0</v>
      </c>
      <c r="R7" s="535">
        <v>0</v>
      </c>
      <c r="S7" s="535">
        <v>0</v>
      </c>
      <c r="T7" s="535">
        <v>0</v>
      </c>
      <c r="U7" s="535"/>
      <c r="V7" s="535"/>
      <c r="W7" s="358"/>
      <c r="X7" s="358"/>
      <c r="Y7" s="358"/>
      <c r="Z7" s="118"/>
      <c r="AA7" s="353"/>
      <c r="AB7" s="9">
        <v>0</v>
      </c>
      <c r="AC7" s="7">
        <v>0</v>
      </c>
      <c r="AD7" s="8">
        <v>0</v>
      </c>
      <c r="AF7" s="518" t="s">
        <v>261</v>
      </c>
      <c r="AG7" s="93" t="s">
        <v>261</v>
      </c>
      <c r="AH7" s="93" t="s">
        <v>261</v>
      </c>
      <c r="AI7" s="519" t="s">
        <v>261</v>
      </c>
      <c r="AK7" s="224"/>
      <c r="AL7" s="224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 s="3" customFormat="1" ht="25.15" customHeight="1">
      <c r="A8" s="317">
        <v>4</v>
      </c>
      <c r="B8" s="318" t="s">
        <v>41</v>
      </c>
      <c r="C8" s="318" t="s">
        <v>42</v>
      </c>
      <c r="D8" s="319" t="s">
        <v>47</v>
      </c>
      <c r="E8" s="318" t="s">
        <v>44</v>
      </c>
      <c r="F8" s="320" t="s">
        <v>44</v>
      </c>
      <c r="G8" s="319" t="s">
        <v>34</v>
      </c>
      <c r="H8" s="319" t="s">
        <v>113</v>
      </c>
      <c r="I8" s="319">
        <v>350</v>
      </c>
      <c r="J8" s="321">
        <v>1.35</v>
      </c>
      <c r="K8" s="322">
        <f t="shared" si="0"/>
        <v>472.50000000000006</v>
      </c>
      <c r="L8" s="319" t="s">
        <v>45</v>
      </c>
      <c r="M8" s="323">
        <v>45708</v>
      </c>
      <c r="N8" s="328" t="s">
        <v>262</v>
      </c>
      <c r="O8" s="532"/>
      <c r="P8" s="532">
        <v>50</v>
      </c>
      <c r="Q8" s="532">
        <v>175</v>
      </c>
      <c r="R8" s="532"/>
      <c r="S8" s="532"/>
      <c r="T8" s="532"/>
      <c r="U8" s="532"/>
      <c r="V8" s="532">
        <v>125</v>
      </c>
      <c r="W8" s="533"/>
      <c r="X8" s="533"/>
      <c r="Y8" s="533"/>
      <c r="Z8" s="534"/>
      <c r="AA8" s="353"/>
      <c r="AB8" s="317"/>
      <c r="AC8" s="319"/>
      <c r="AD8" s="325"/>
      <c r="AF8" s="520" t="s">
        <v>261</v>
      </c>
      <c r="AG8" s="521" t="s">
        <v>261</v>
      </c>
      <c r="AH8" s="521" t="s">
        <v>261</v>
      </c>
      <c r="AI8" s="522" t="s">
        <v>261</v>
      </c>
      <c r="AJ8" s="326"/>
      <c r="AK8" s="327">
        <v>0</v>
      </c>
      <c r="AL8" s="327">
        <f>+AK8</f>
        <v>0</v>
      </c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 s="3" customFormat="1" ht="25.15" customHeight="1">
      <c r="A9" s="9">
        <v>5</v>
      </c>
      <c r="B9" s="16" t="s">
        <v>49</v>
      </c>
      <c r="C9" s="16" t="s">
        <v>50</v>
      </c>
      <c r="D9" s="7" t="s">
        <v>51</v>
      </c>
      <c r="E9" s="16" t="s">
        <v>44</v>
      </c>
      <c r="F9" s="13" t="s">
        <v>44</v>
      </c>
      <c r="G9" s="7" t="s">
        <v>52</v>
      </c>
      <c r="H9" s="7" t="s">
        <v>113</v>
      </c>
      <c r="I9" s="7">
        <v>570</v>
      </c>
      <c r="J9" s="297">
        <v>1.4</v>
      </c>
      <c r="K9" s="5">
        <f t="shared" si="0"/>
        <v>798</v>
      </c>
      <c r="L9" s="7" t="s">
        <v>53</v>
      </c>
      <c r="M9" s="268">
        <v>45721</v>
      </c>
      <c r="N9" s="110" t="s">
        <v>263</v>
      </c>
      <c r="O9" s="535">
        <v>145</v>
      </c>
      <c r="P9" s="535"/>
      <c r="Q9" s="535">
        <v>150</v>
      </c>
      <c r="R9" s="535"/>
      <c r="S9" s="535">
        <v>50</v>
      </c>
      <c r="T9" s="535">
        <v>75</v>
      </c>
      <c r="U9" s="535">
        <v>75</v>
      </c>
      <c r="V9" s="358"/>
      <c r="W9" s="531">
        <v>75</v>
      </c>
      <c r="X9" s="358"/>
      <c r="Y9" s="358"/>
      <c r="Z9" s="118"/>
      <c r="AA9" s="353"/>
      <c r="AB9" s="9"/>
      <c r="AC9" s="7"/>
      <c r="AD9" s="8"/>
      <c r="AF9" s="523" t="s">
        <v>261</v>
      </c>
      <c r="AG9" s="524" t="s">
        <v>261</v>
      </c>
      <c r="AH9" s="524" t="s">
        <v>261</v>
      </c>
      <c r="AI9" s="525" t="s">
        <v>261</v>
      </c>
      <c r="AK9" s="224">
        <v>7</v>
      </c>
      <c r="AL9" s="224">
        <f>+AK9</f>
        <v>7</v>
      </c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 s="3" customFormat="1" ht="25.15" customHeight="1">
      <c r="A10" s="317">
        <v>6</v>
      </c>
      <c r="B10" s="318" t="s">
        <v>30</v>
      </c>
      <c r="C10" s="318" t="s">
        <v>55</v>
      </c>
      <c r="D10" s="319" t="s">
        <v>56</v>
      </c>
      <c r="E10" s="318" t="s">
        <v>33</v>
      </c>
      <c r="F10" s="320" t="s">
        <v>33</v>
      </c>
      <c r="G10" s="319" t="s">
        <v>34</v>
      </c>
      <c r="H10" s="319" t="s">
        <v>74</v>
      </c>
      <c r="I10" s="319">
        <v>250</v>
      </c>
      <c r="J10" s="321">
        <v>1.37</v>
      </c>
      <c r="K10" s="322">
        <f t="shared" si="0"/>
        <v>342.5</v>
      </c>
      <c r="L10" s="319" t="s">
        <v>53</v>
      </c>
      <c r="M10" s="323">
        <v>45721</v>
      </c>
      <c r="N10" s="331"/>
      <c r="O10" s="532">
        <v>50</v>
      </c>
      <c r="P10" s="532"/>
      <c r="Q10" s="532">
        <v>125</v>
      </c>
      <c r="R10" s="532"/>
      <c r="S10" s="532"/>
      <c r="T10" s="532">
        <v>75</v>
      </c>
      <c r="U10" s="532">
        <v>0</v>
      </c>
      <c r="V10" s="532"/>
      <c r="W10" s="533"/>
      <c r="X10" s="533"/>
      <c r="Y10" s="533"/>
      <c r="Z10" s="534"/>
      <c r="AA10" s="353"/>
      <c r="AB10" s="317"/>
      <c r="AC10" s="319"/>
      <c r="AD10" s="325"/>
      <c r="AF10" s="520" t="s">
        <v>261</v>
      </c>
      <c r="AG10" s="521" t="s">
        <v>261</v>
      </c>
      <c r="AH10" s="521" t="s">
        <v>261</v>
      </c>
      <c r="AI10" s="522" t="s">
        <v>261</v>
      </c>
      <c r="AJ10" s="326"/>
      <c r="AK10" s="327"/>
      <c r="AL10" s="327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 s="3" customFormat="1" ht="25.15" customHeight="1">
      <c r="A11" s="9">
        <v>7</v>
      </c>
      <c r="B11" s="16" t="s">
        <v>57</v>
      </c>
      <c r="C11" s="16" t="s">
        <v>31</v>
      </c>
      <c r="D11" s="7" t="s">
        <v>58</v>
      </c>
      <c r="E11" s="16" t="s">
        <v>44</v>
      </c>
      <c r="F11" s="13" t="s">
        <v>44</v>
      </c>
      <c r="G11" s="7" t="s">
        <v>34</v>
      </c>
      <c r="H11" s="7" t="s">
        <v>113</v>
      </c>
      <c r="I11" s="7">
        <v>500</v>
      </c>
      <c r="J11" s="297">
        <v>1.37</v>
      </c>
      <c r="K11" s="5">
        <f t="shared" si="0"/>
        <v>685</v>
      </c>
      <c r="L11" s="7" t="s">
        <v>59</v>
      </c>
      <c r="M11" s="268">
        <v>45741</v>
      </c>
      <c r="N11" s="17">
        <v>45990</v>
      </c>
      <c r="O11" s="535">
        <v>100</v>
      </c>
      <c r="P11" s="535"/>
      <c r="Q11" s="535">
        <v>137.5</v>
      </c>
      <c r="R11" s="535"/>
      <c r="S11" s="535">
        <v>87.5</v>
      </c>
      <c r="T11" s="535">
        <v>100</v>
      </c>
      <c r="U11" s="535"/>
      <c r="V11" s="535">
        <v>75</v>
      </c>
      <c r="W11" s="358"/>
      <c r="X11" s="358"/>
      <c r="Y11" s="358"/>
      <c r="Z11" s="118"/>
      <c r="AA11" s="353"/>
      <c r="AB11" s="9"/>
      <c r="AC11" s="7"/>
      <c r="AD11" s="8"/>
      <c r="AF11" s="523" t="s">
        <v>261</v>
      </c>
      <c r="AG11" s="524" t="s">
        <v>261</v>
      </c>
      <c r="AH11" s="524" t="s">
        <v>261</v>
      </c>
      <c r="AI11" s="525" t="s">
        <v>261</v>
      </c>
      <c r="AK11" s="224">
        <v>0</v>
      </c>
      <c r="AL11" s="224">
        <f>+AK11</f>
        <v>0</v>
      </c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 s="3" customFormat="1" ht="25.15" customHeight="1">
      <c r="A12" s="317" t="s">
        <v>68</v>
      </c>
      <c r="B12" s="318" t="s">
        <v>69</v>
      </c>
      <c r="C12" s="318" t="s">
        <v>70</v>
      </c>
      <c r="D12" s="319" t="s">
        <v>71</v>
      </c>
      <c r="E12" s="318" t="s">
        <v>73</v>
      </c>
      <c r="F12" s="320" t="s">
        <v>33</v>
      </c>
      <c r="G12" s="319" t="s">
        <v>34</v>
      </c>
      <c r="H12" s="319" t="s">
        <v>74</v>
      </c>
      <c r="I12" s="319">
        <v>25</v>
      </c>
      <c r="J12" s="321">
        <v>1.35</v>
      </c>
      <c r="K12" s="322">
        <f t="shared" ref="K12:K28" si="1">J12*I12</f>
        <v>33.75</v>
      </c>
      <c r="L12" s="319" t="s">
        <v>75</v>
      </c>
      <c r="M12" s="323">
        <v>45851</v>
      </c>
      <c r="N12" s="331" t="s">
        <v>76</v>
      </c>
      <c r="O12" s="532"/>
      <c r="P12" s="532"/>
      <c r="Q12" s="532"/>
      <c r="R12" s="532">
        <v>25</v>
      </c>
      <c r="S12" s="532">
        <v>0</v>
      </c>
      <c r="T12" s="532">
        <v>0</v>
      </c>
      <c r="U12" s="532">
        <v>0</v>
      </c>
      <c r="V12" s="532"/>
      <c r="W12" s="533">
        <v>0</v>
      </c>
      <c r="X12" s="533"/>
      <c r="Y12" s="533"/>
      <c r="Z12" s="534"/>
      <c r="AB12" s="317"/>
      <c r="AC12" s="319"/>
      <c r="AD12" s="325"/>
      <c r="AF12" s="520" t="s">
        <v>261</v>
      </c>
      <c r="AG12" s="521" t="s">
        <v>261</v>
      </c>
      <c r="AH12" s="521" t="s">
        <v>261</v>
      </c>
      <c r="AI12" s="522" t="s">
        <v>261</v>
      </c>
      <c r="AJ12" s="326"/>
      <c r="AK12" s="327"/>
      <c r="AL12" s="327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 s="3" customFormat="1" ht="25.15" customHeight="1">
      <c r="A13" s="9" t="s">
        <v>79</v>
      </c>
      <c r="B13" s="16" t="s">
        <v>30</v>
      </c>
      <c r="C13" s="16" t="s">
        <v>80</v>
      </c>
      <c r="D13" s="7" t="s">
        <v>71</v>
      </c>
      <c r="E13" s="16" t="s">
        <v>82</v>
      </c>
      <c r="F13" s="13" t="s">
        <v>33</v>
      </c>
      <c r="G13" s="7" t="s">
        <v>34</v>
      </c>
      <c r="H13" s="7" t="s">
        <v>74</v>
      </c>
      <c r="I13" s="72">
        <v>35</v>
      </c>
      <c r="J13" s="297">
        <v>1.35</v>
      </c>
      <c r="K13" s="5">
        <f t="shared" si="1"/>
        <v>47.25</v>
      </c>
      <c r="L13" s="7" t="s">
        <v>75</v>
      </c>
      <c r="M13" s="268">
        <v>45851</v>
      </c>
      <c r="N13" s="17" t="s">
        <v>76</v>
      </c>
      <c r="O13" s="535"/>
      <c r="P13" s="535"/>
      <c r="Q13" s="535"/>
      <c r="R13" s="535">
        <v>35</v>
      </c>
      <c r="S13" s="535">
        <v>0</v>
      </c>
      <c r="T13" s="535">
        <v>0</v>
      </c>
      <c r="U13" s="535">
        <v>0</v>
      </c>
      <c r="V13" s="535"/>
      <c r="W13" s="358">
        <v>0</v>
      </c>
      <c r="X13" s="358"/>
      <c r="Y13" s="358"/>
      <c r="Z13" s="118"/>
      <c r="AB13" s="9"/>
      <c r="AC13" s="7"/>
      <c r="AD13" s="8"/>
      <c r="AF13" s="523" t="s">
        <v>261</v>
      </c>
      <c r="AG13" s="524" t="s">
        <v>261</v>
      </c>
      <c r="AH13" s="524" t="s">
        <v>261</v>
      </c>
      <c r="AI13" s="525" t="s">
        <v>261</v>
      </c>
      <c r="AK13" s="224"/>
      <c r="AL13" s="224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 s="3" customFormat="1" ht="25.15" customHeight="1">
      <c r="A14" s="317" t="s">
        <v>83</v>
      </c>
      <c r="B14" s="318" t="s">
        <v>84</v>
      </c>
      <c r="C14" s="335" t="s">
        <v>186</v>
      </c>
      <c r="D14" s="319" t="s">
        <v>86</v>
      </c>
      <c r="E14" s="318" t="s">
        <v>82</v>
      </c>
      <c r="F14" s="320" t="s">
        <v>33</v>
      </c>
      <c r="G14" s="319" t="s">
        <v>34</v>
      </c>
      <c r="H14" s="319" t="s">
        <v>74</v>
      </c>
      <c r="I14" s="319">
        <v>100</v>
      </c>
      <c r="J14" s="321">
        <v>1.35</v>
      </c>
      <c r="K14" s="322">
        <f t="shared" si="1"/>
        <v>135</v>
      </c>
      <c r="L14" s="319" t="s">
        <v>35</v>
      </c>
      <c r="M14" s="323">
        <v>45612</v>
      </c>
      <c r="N14" s="331" t="s">
        <v>76</v>
      </c>
      <c r="O14" s="532"/>
      <c r="P14" s="532"/>
      <c r="Q14" s="532"/>
      <c r="R14" s="532"/>
      <c r="S14" s="532"/>
      <c r="T14" s="532">
        <v>100</v>
      </c>
      <c r="U14" s="532"/>
      <c r="V14" s="532"/>
      <c r="W14" s="533"/>
      <c r="X14" s="533"/>
      <c r="Y14" s="533"/>
      <c r="Z14" s="534"/>
      <c r="AB14" s="317"/>
      <c r="AC14" s="319"/>
      <c r="AD14" s="325"/>
      <c r="AF14" s="520" t="s">
        <v>261</v>
      </c>
      <c r="AG14" s="521" t="s">
        <v>261</v>
      </c>
      <c r="AH14" s="521" t="s">
        <v>261</v>
      </c>
      <c r="AI14" s="522" t="s">
        <v>261</v>
      </c>
      <c r="AJ14" s="326"/>
      <c r="AK14" s="327"/>
      <c r="AL14" s="327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 s="3" customFormat="1" ht="25.15" customHeight="1">
      <c r="A15" s="9" t="s">
        <v>90</v>
      </c>
      <c r="B15" s="16" t="s">
        <v>30</v>
      </c>
      <c r="C15" s="16" t="s">
        <v>50</v>
      </c>
      <c r="D15" s="7" t="s">
        <v>91</v>
      </c>
      <c r="E15" s="16" t="s">
        <v>33</v>
      </c>
      <c r="F15" s="13" t="s">
        <v>33</v>
      </c>
      <c r="G15" s="7" t="s">
        <v>34</v>
      </c>
      <c r="H15" s="7" t="s">
        <v>74</v>
      </c>
      <c r="I15" s="7">
        <v>150</v>
      </c>
      <c r="J15" s="297">
        <v>1.35</v>
      </c>
      <c r="K15" s="5">
        <f t="shared" si="1"/>
        <v>202.5</v>
      </c>
      <c r="L15" s="7" t="s">
        <v>75</v>
      </c>
      <c r="M15" s="268">
        <v>45851</v>
      </c>
      <c r="N15" s="17" t="s">
        <v>76</v>
      </c>
      <c r="O15" s="535"/>
      <c r="P15" s="535"/>
      <c r="Q15" s="535"/>
      <c r="R15" s="535"/>
      <c r="S15" s="535"/>
      <c r="T15" s="535">
        <v>50</v>
      </c>
      <c r="U15" s="535"/>
      <c r="V15" s="535"/>
      <c r="W15" s="43"/>
      <c r="X15" s="358">
        <v>50</v>
      </c>
      <c r="Y15" s="536">
        <v>50</v>
      </c>
      <c r="Z15" s="118"/>
      <c r="AB15" s="9"/>
      <c r="AC15" s="7"/>
      <c r="AD15" s="8"/>
      <c r="AF15" s="288">
        <v>0.97</v>
      </c>
      <c r="AG15" s="289">
        <v>0.81699999999999995</v>
      </c>
      <c r="AH15" s="289">
        <v>0.62</v>
      </c>
      <c r="AI15" s="290" t="s">
        <v>264</v>
      </c>
      <c r="AK15" s="224">
        <v>360</v>
      </c>
      <c r="AL15" s="224">
        <v>240</v>
      </c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 s="3" customFormat="1" ht="25.15" customHeight="1">
      <c r="A16" s="317" t="s">
        <v>162</v>
      </c>
      <c r="B16" s="318" t="s">
        <v>84</v>
      </c>
      <c r="C16" s="318" t="s">
        <v>95</v>
      </c>
      <c r="D16" s="319" t="s">
        <v>96</v>
      </c>
      <c r="E16" s="318" t="s">
        <v>82</v>
      </c>
      <c r="F16" s="320" t="s">
        <v>33</v>
      </c>
      <c r="G16" s="319" t="s">
        <v>34</v>
      </c>
      <c r="H16" s="319" t="s">
        <v>74</v>
      </c>
      <c r="I16" s="319">
        <f>SUM(I17:I18)</f>
        <v>292</v>
      </c>
      <c r="J16" s="321">
        <v>1.35</v>
      </c>
      <c r="K16" s="322">
        <f t="shared" ref="K16" si="2">J16*I16</f>
        <v>394.20000000000005</v>
      </c>
      <c r="L16" s="319" t="s">
        <v>59</v>
      </c>
      <c r="M16" s="323">
        <v>45876</v>
      </c>
      <c r="N16" s="331" t="s">
        <v>76</v>
      </c>
      <c r="O16" s="532">
        <f t="shared" ref="O16:AD16" si="3">SUM(O17:O18)</f>
        <v>0</v>
      </c>
      <c r="P16" s="532">
        <f t="shared" si="3"/>
        <v>0</v>
      </c>
      <c r="Q16" s="532">
        <f t="shared" si="3"/>
        <v>0</v>
      </c>
      <c r="R16" s="532">
        <f t="shared" si="3"/>
        <v>0</v>
      </c>
      <c r="S16" s="532">
        <f t="shared" si="3"/>
        <v>0</v>
      </c>
      <c r="T16" s="532">
        <f t="shared" si="3"/>
        <v>50</v>
      </c>
      <c r="U16" s="532">
        <f t="shared" si="3"/>
        <v>0</v>
      </c>
      <c r="V16" s="532">
        <f t="shared" si="3"/>
        <v>50</v>
      </c>
      <c r="W16" s="532">
        <f t="shared" si="3"/>
        <v>50</v>
      </c>
      <c r="X16" s="533">
        <f t="shared" si="3"/>
        <v>75</v>
      </c>
      <c r="Y16" s="533">
        <f t="shared" si="3"/>
        <v>67</v>
      </c>
      <c r="Z16" s="534">
        <f t="shared" si="3"/>
        <v>0</v>
      </c>
      <c r="AA16" s="3">
        <f t="shared" si="3"/>
        <v>0</v>
      </c>
      <c r="AB16" s="336"/>
      <c r="AC16" s="319"/>
      <c r="AD16" s="337">
        <f t="shared" si="3"/>
        <v>0</v>
      </c>
      <c r="AF16" s="329">
        <v>0.99399999999999999</v>
      </c>
      <c r="AG16" s="330">
        <v>0.89600000000000002</v>
      </c>
      <c r="AH16" s="330">
        <v>0.58399999999999996</v>
      </c>
      <c r="AI16" s="332" t="s">
        <v>265</v>
      </c>
      <c r="AJ16" s="326"/>
      <c r="AK16" s="327">
        <v>358</v>
      </c>
      <c r="AL16" s="327">
        <v>480</v>
      </c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6" s="3" customFormat="1" ht="18.75" hidden="1" customHeight="1">
      <c r="A17" s="9" t="s">
        <v>94</v>
      </c>
      <c r="B17" s="16" t="s">
        <v>84</v>
      </c>
      <c r="C17" s="16" t="s">
        <v>95</v>
      </c>
      <c r="D17" s="7" t="s">
        <v>96</v>
      </c>
      <c r="E17" s="16" t="s">
        <v>82</v>
      </c>
      <c r="F17" s="16" t="s">
        <v>33</v>
      </c>
      <c r="G17" s="7" t="s">
        <v>34</v>
      </c>
      <c r="H17" s="7" t="s">
        <v>74</v>
      </c>
      <c r="I17" s="7">
        <v>142</v>
      </c>
      <c r="J17" s="297">
        <v>1.35</v>
      </c>
      <c r="K17" s="5">
        <f t="shared" si="1"/>
        <v>191.70000000000002</v>
      </c>
      <c r="L17" s="7"/>
      <c r="M17" s="268">
        <v>45876</v>
      </c>
      <c r="N17" s="17" t="s">
        <v>76</v>
      </c>
      <c r="O17" s="535"/>
      <c r="P17" s="535"/>
      <c r="Q17" s="535"/>
      <c r="R17" s="535"/>
      <c r="S17" s="535"/>
      <c r="T17" s="535">
        <v>50</v>
      </c>
      <c r="U17" s="535"/>
      <c r="V17" s="535">
        <v>50</v>
      </c>
      <c r="W17" s="358"/>
      <c r="X17" s="358"/>
      <c r="Y17" s="358">
        <v>42</v>
      </c>
      <c r="Z17" s="118"/>
      <c r="AB17" s="9"/>
      <c r="AC17" s="7"/>
      <c r="AD17" s="8"/>
      <c r="AF17" s="288"/>
      <c r="AG17" s="289"/>
      <c r="AH17" s="289"/>
      <c r="AI17" s="290"/>
      <c r="AK17" s="224"/>
      <c r="AL17" s="224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6" s="3" customFormat="1" ht="17.25" hidden="1" customHeight="1">
      <c r="A18" s="317" t="s">
        <v>99</v>
      </c>
      <c r="B18" s="318" t="s">
        <v>30</v>
      </c>
      <c r="C18" s="318" t="s">
        <v>95</v>
      </c>
      <c r="D18" s="319" t="s">
        <v>96</v>
      </c>
      <c r="E18" s="318" t="s">
        <v>82</v>
      </c>
      <c r="F18" s="320" t="s">
        <v>33</v>
      </c>
      <c r="G18" s="319" t="s">
        <v>34</v>
      </c>
      <c r="H18" s="319" t="s">
        <v>74</v>
      </c>
      <c r="I18" s="319">
        <v>150</v>
      </c>
      <c r="J18" s="321">
        <v>1.35</v>
      </c>
      <c r="K18" s="322">
        <f t="shared" ref="K18" si="4">J18*I18</f>
        <v>202.5</v>
      </c>
      <c r="L18" s="319"/>
      <c r="M18" s="323">
        <v>45876</v>
      </c>
      <c r="N18" s="331" t="s">
        <v>76</v>
      </c>
      <c r="O18" s="532"/>
      <c r="P18" s="532"/>
      <c r="Q18" s="532"/>
      <c r="R18" s="532"/>
      <c r="S18" s="532"/>
      <c r="T18" s="532"/>
      <c r="U18" s="532"/>
      <c r="V18" s="532"/>
      <c r="W18" s="541">
        <v>50</v>
      </c>
      <c r="X18" s="537">
        <v>75</v>
      </c>
      <c r="Y18" s="537">
        <v>25</v>
      </c>
      <c r="Z18" s="534"/>
      <c r="AB18" s="336"/>
      <c r="AC18" s="322"/>
      <c r="AD18" s="337"/>
      <c r="AF18" s="329"/>
      <c r="AG18" s="330"/>
      <c r="AH18" s="330"/>
      <c r="AI18" s="332"/>
      <c r="AJ18" s="326"/>
      <c r="AK18" s="327"/>
      <c r="AL18" s="327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6" s="3" customFormat="1" ht="25.15" customHeight="1">
      <c r="A19" s="9" t="s">
        <v>100</v>
      </c>
      <c r="B19" s="16" t="s">
        <v>30</v>
      </c>
      <c r="C19" s="16" t="s">
        <v>101</v>
      </c>
      <c r="D19" s="7" t="s">
        <v>96</v>
      </c>
      <c r="E19" s="16" t="s">
        <v>33</v>
      </c>
      <c r="F19" s="16" t="s">
        <v>33</v>
      </c>
      <c r="G19" s="7" t="s">
        <v>34</v>
      </c>
      <c r="H19" s="7" t="s">
        <v>74</v>
      </c>
      <c r="I19" s="7">
        <v>150</v>
      </c>
      <c r="J19" s="297">
        <v>1.35</v>
      </c>
      <c r="K19" s="5">
        <f t="shared" si="1"/>
        <v>202.5</v>
      </c>
      <c r="L19" s="7" t="s">
        <v>59</v>
      </c>
      <c r="M19" s="268">
        <v>45876</v>
      </c>
      <c r="N19" s="17" t="s">
        <v>76</v>
      </c>
      <c r="O19" s="535"/>
      <c r="P19" s="535"/>
      <c r="Q19" s="535"/>
      <c r="R19" s="535"/>
      <c r="S19" s="535"/>
      <c r="T19" s="535"/>
      <c r="U19" s="535"/>
      <c r="V19" s="535"/>
      <c r="X19" s="358">
        <v>62.5</v>
      </c>
      <c r="Y19" s="358">
        <v>87.5</v>
      </c>
      <c r="Z19" s="118"/>
      <c r="AB19" s="9"/>
      <c r="AC19" s="7"/>
      <c r="AD19" s="8"/>
      <c r="AF19" s="288">
        <v>0.98</v>
      </c>
      <c r="AG19" s="289">
        <v>0.81699999999999995</v>
      </c>
      <c r="AH19" s="289">
        <v>0.46433552593507715</v>
      </c>
      <c r="AI19" s="290" t="s">
        <v>265</v>
      </c>
      <c r="AK19" s="224">
        <v>520</v>
      </c>
      <c r="AL19" s="224">
        <v>380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6" s="3" customFormat="1" ht="25.15" customHeight="1">
      <c r="A20" s="317" t="s">
        <v>102</v>
      </c>
      <c r="B20" s="318" t="s">
        <v>30</v>
      </c>
      <c r="C20" s="318" t="s">
        <v>101</v>
      </c>
      <c r="D20" s="319" t="s">
        <v>56</v>
      </c>
      <c r="E20" s="318" t="s">
        <v>33</v>
      </c>
      <c r="F20" s="320" t="s">
        <v>33</v>
      </c>
      <c r="G20" s="319" t="s">
        <v>34</v>
      </c>
      <c r="H20" s="319" t="s">
        <v>74</v>
      </c>
      <c r="I20" s="319">
        <v>150</v>
      </c>
      <c r="J20" s="321">
        <v>1.35</v>
      </c>
      <c r="K20" s="322">
        <f t="shared" si="1"/>
        <v>202.5</v>
      </c>
      <c r="L20" s="319" t="s">
        <v>53</v>
      </c>
      <c r="M20" s="323">
        <v>45721</v>
      </c>
      <c r="N20" s="331" t="s">
        <v>76</v>
      </c>
      <c r="O20" s="532"/>
      <c r="P20" s="532"/>
      <c r="Q20" s="532"/>
      <c r="R20" s="532"/>
      <c r="S20" s="532"/>
      <c r="T20" s="532"/>
      <c r="U20" s="532"/>
      <c r="V20" s="532"/>
      <c r="W20" s="533"/>
      <c r="X20" s="533">
        <v>75</v>
      </c>
      <c r="Y20" s="533">
        <v>75</v>
      </c>
      <c r="Z20" s="534"/>
      <c r="AB20" s="317"/>
      <c r="AC20" s="319"/>
      <c r="AD20" s="325"/>
      <c r="AF20" s="329">
        <v>0.95</v>
      </c>
      <c r="AG20" s="330">
        <v>0.48699999999999999</v>
      </c>
      <c r="AH20" s="330">
        <v>0.13300000000000001</v>
      </c>
      <c r="AI20" s="332" t="s">
        <v>266</v>
      </c>
      <c r="AJ20" s="326"/>
      <c r="AK20" s="327">
        <v>412</v>
      </c>
      <c r="AL20" s="327">
        <v>840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6" s="3" customFormat="1" ht="25.15" customHeight="1">
      <c r="A21" s="9" t="s">
        <v>104</v>
      </c>
      <c r="B21" s="16" t="s">
        <v>105</v>
      </c>
      <c r="C21" s="16" t="s">
        <v>106</v>
      </c>
      <c r="D21" s="7" t="s">
        <v>107</v>
      </c>
      <c r="E21" s="16" t="s">
        <v>105</v>
      </c>
      <c r="F21" s="16" t="s">
        <v>62</v>
      </c>
      <c r="G21" s="7" t="s">
        <v>52</v>
      </c>
      <c r="H21" s="7" t="s">
        <v>74</v>
      </c>
      <c r="I21" s="7">
        <v>125</v>
      </c>
      <c r="J21" s="297">
        <v>1.36</v>
      </c>
      <c r="K21" s="5">
        <f t="shared" si="1"/>
        <v>170</v>
      </c>
      <c r="L21" s="7" t="s">
        <v>39</v>
      </c>
      <c r="M21" s="268">
        <v>45714</v>
      </c>
      <c r="N21" s="17" t="s">
        <v>76</v>
      </c>
      <c r="O21" s="535"/>
      <c r="P21" s="535"/>
      <c r="Q21" s="535"/>
      <c r="R21" s="535"/>
      <c r="S21" s="535"/>
      <c r="T21" s="535">
        <v>50</v>
      </c>
      <c r="U21" s="535"/>
      <c r="V21" s="535"/>
      <c r="W21" s="532">
        <v>75</v>
      </c>
      <c r="X21" s="358"/>
      <c r="Y21" s="358"/>
      <c r="Z21" s="118"/>
      <c r="AB21" s="9"/>
      <c r="AC21" s="7"/>
      <c r="AD21" s="8"/>
      <c r="AF21" s="523" t="s">
        <v>261</v>
      </c>
      <c r="AG21" s="524" t="s">
        <v>261</v>
      </c>
      <c r="AH21" s="524" t="s">
        <v>261</v>
      </c>
      <c r="AI21" s="525" t="s">
        <v>261</v>
      </c>
      <c r="AK21" s="224"/>
      <c r="AL21" s="224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6" s="84" customFormat="1" ht="25.15" customHeight="1">
      <c r="A22" s="317" t="s">
        <v>114</v>
      </c>
      <c r="B22" s="338" t="s">
        <v>57</v>
      </c>
      <c r="C22" s="338" t="s">
        <v>111</v>
      </c>
      <c r="D22" s="333" t="s">
        <v>71</v>
      </c>
      <c r="E22" s="338" t="s">
        <v>44</v>
      </c>
      <c r="F22" s="339" t="s">
        <v>44</v>
      </c>
      <c r="G22" s="333" t="s">
        <v>34</v>
      </c>
      <c r="H22" s="333" t="s">
        <v>113</v>
      </c>
      <c r="I22" s="333">
        <v>75</v>
      </c>
      <c r="J22" s="321">
        <v>1.35</v>
      </c>
      <c r="K22" s="322">
        <f t="shared" si="1"/>
        <v>101.25</v>
      </c>
      <c r="L22" s="333" t="s">
        <v>75</v>
      </c>
      <c r="M22" s="323">
        <v>45851</v>
      </c>
      <c r="N22" s="331">
        <v>45990</v>
      </c>
      <c r="O22" s="532"/>
      <c r="P22" s="532"/>
      <c r="Q22" s="532"/>
      <c r="R22" s="532"/>
      <c r="S22" s="532"/>
      <c r="T22" s="532"/>
      <c r="U22" s="532"/>
      <c r="V22" s="533"/>
      <c r="W22" s="531">
        <v>75</v>
      </c>
      <c r="X22" s="538"/>
      <c r="Y22" s="538"/>
      <c r="Z22" s="539">
        <v>0</v>
      </c>
      <c r="AB22" s="317"/>
      <c r="AC22" s="319"/>
      <c r="AD22" s="325"/>
      <c r="AF22" s="520" t="s">
        <v>261</v>
      </c>
      <c r="AG22" s="521" t="s">
        <v>261</v>
      </c>
      <c r="AH22" s="521" t="s">
        <v>261</v>
      </c>
      <c r="AI22" s="522" t="s">
        <v>261</v>
      </c>
      <c r="AJ22" s="341"/>
      <c r="AK22" s="327"/>
      <c r="AL22" s="327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6" s="3" customFormat="1" ht="25.15" customHeight="1">
      <c r="A23" s="9" t="s">
        <v>122</v>
      </c>
      <c r="B23" s="16" t="s">
        <v>115</v>
      </c>
      <c r="C23" s="16" t="s">
        <v>116</v>
      </c>
      <c r="D23" s="7" t="s">
        <v>267</v>
      </c>
      <c r="E23" s="16" t="s">
        <v>44</v>
      </c>
      <c r="F23" s="16" t="s">
        <v>44</v>
      </c>
      <c r="G23" s="7" t="s">
        <v>52</v>
      </c>
      <c r="H23" s="7" t="s">
        <v>119</v>
      </c>
      <c r="I23" s="7">
        <v>50</v>
      </c>
      <c r="J23" s="298">
        <v>1.3306</v>
      </c>
      <c r="K23" s="5">
        <f t="shared" si="1"/>
        <v>66.53</v>
      </c>
      <c r="L23" s="7" t="s">
        <v>120</v>
      </c>
      <c r="M23" s="99">
        <v>45997</v>
      </c>
      <c r="N23" s="98">
        <v>46034</v>
      </c>
      <c r="O23" s="535"/>
      <c r="P23" s="535"/>
      <c r="Q23" s="535"/>
      <c r="R23" s="535"/>
      <c r="S23" s="535"/>
      <c r="T23" s="535"/>
      <c r="U23" s="535"/>
      <c r="V23" s="535"/>
      <c r="X23" s="358">
        <v>50</v>
      </c>
      <c r="Y23" s="358"/>
      <c r="Z23" s="118"/>
      <c r="AB23" s="9"/>
      <c r="AC23" s="7"/>
      <c r="AD23" s="8"/>
      <c r="AF23" s="523" t="s">
        <v>261</v>
      </c>
      <c r="AG23" s="524" t="s">
        <v>261</v>
      </c>
      <c r="AH23" s="524" t="s">
        <v>261</v>
      </c>
      <c r="AI23" s="525" t="s">
        <v>261</v>
      </c>
      <c r="AK23" s="224">
        <v>129</v>
      </c>
      <c r="AL23" s="224">
        <v>250</v>
      </c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6" s="3" customFormat="1" ht="25.15" customHeight="1">
      <c r="A24" s="317" t="s">
        <v>124</v>
      </c>
      <c r="B24" s="318" t="s">
        <v>123</v>
      </c>
      <c r="C24" s="318" t="s">
        <v>116</v>
      </c>
      <c r="D24" s="319" t="s">
        <v>268</v>
      </c>
      <c r="E24" s="318" t="s">
        <v>44</v>
      </c>
      <c r="F24" s="318" t="s">
        <v>44</v>
      </c>
      <c r="G24" s="319" t="s">
        <v>52</v>
      </c>
      <c r="H24" s="319" t="s">
        <v>119</v>
      </c>
      <c r="I24" s="319">
        <v>200</v>
      </c>
      <c r="J24" s="342">
        <v>1.3181</v>
      </c>
      <c r="K24" s="322">
        <f t="shared" si="1"/>
        <v>263.62</v>
      </c>
      <c r="L24" s="319" t="s">
        <v>120</v>
      </c>
      <c r="M24" s="343">
        <v>45997</v>
      </c>
      <c r="N24" s="344">
        <v>46034</v>
      </c>
      <c r="O24" s="532"/>
      <c r="P24" s="532"/>
      <c r="Q24" s="532"/>
      <c r="R24" s="532"/>
      <c r="S24" s="532"/>
      <c r="T24" s="532"/>
      <c r="U24" s="532"/>
      <c r="V24" s="532"/>
      <c r="W24" s="533"/>
      <c r="X24" s="533">
        <v>175</v>
      </c>
      <c r="Y24" s="533">
        <v>25</v>
      </c>
      <c r="Z24" s="534"/>
      <c r="AB24" s="317"/>
      <c r="AC24" s="319"/>
      <c r="AD24" s="325"/>
      <c r="AF24" s="329">
        <v>0.77</v>
      </c>
      <c r="AG24" s="330">
        <v>0.41699999999999998</v>
      </c>
      <c r="AH24" s="330">
        <v>0.27800000000000002</v>
      </c>
      <c r="AI24" s="414" t="s">
        <v>269</v>
      </c>
      <c r="AJ24" s="326"/>
      <c r="AK24" s="327">
        <v>659</v>
      </c>
      <c r="AL24" s="327">
        <v>1050</v>
      </c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 s="3" customFormat="1" ht="25.15" customHeight="1">
      <c r="A25" s="9" t="s">
        <v>126</v>
      </c>
      <c r="B25" s="16" t="s">
        <v>125</v>
      </c>
      <c r="C25" s="16" t="s">
        <v>116</v>
      </c>
      <c r="D25" s="7" t="s">
        <v>270</v>
      </c>
      <c r="E25" s="16" t="s">
        <v>44</v>
      </c>
      <c r="F25" s="16" t="s">
        <v>44</v>
      </c>
      <c r="G25" s="7" t="s">
        <v>52</v>
      </c>
      <c r="H25" s="7" t="s">
        <v>119</v>
      </c>
      <c r="I25" s="7">
        <v>167</v>
      </c>
      <c r="J25" s="298">
        <v>1.3293413173652695</v>
      </c>
      <c r="K25" s="5">
        <f t="shared" si="1"/>
        <v>222</v>
      </c>
      <c r="L25" s="7" t="s">
        <v>120</v>
      </c>
      <c r="M25" s="99">
        <v>45997</v>
      </c>
      <c r="N25" s="98">
        <v>46034</v>
      </c>
      <c r="O25" s="535"/>
      <c r="P25" s="535"/>
      <c r="Q25" s="535"/>
      <c r="R25" s="535"/>
      <c r="S25" s="535"/>
      <c r="T25" s="535"/>
      <c r="U25" s="535"/>
      <c r="V25" s="535"/>
      <c r="W25" s="358"/>
      <c r="X25" s="358">
        <v>100</v>
      </c>
      <c r="Y25" s="358">
        <v>67</v>
      </c>
      <c r="Z25" s="118"/>
      <c r="AB25" s="9"/>
      <c r="AC25" s="7"/>
      <c r="AD25" s="8"/>
      <c r="AF25" s="288">
        <v>0.60929999999999995</v>
      </c>
      <c r="AG25" s="289">
        <v>1.92628545426968E-2</v>
      </c>
      <c r="AH25" s="289"/>
      <c r="AI25" s="290" t="s">
        <v>271</v>
      </c>
      <c r="AK25" s="224">
        <v>331</v>
      </c>
      <c r="AL25" s="224">
        <v>1020</v>
      </c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1:56" s="3" customFormat="1" ht="25.15" customHeight="1">
      <c r="A26" s="317" t="s">
        <v>128</v>
      </c>
      <c r="B26" s="318" t="s">
        <v>127</v>
      </c>
      <c r="C26" s="318" t="s">
        <v>116</v>
      </c>
      <c r="D26" s="319" t="s">
        <v>272</v>
      </c>
      <c r="E26" s="318" t="s">
        <v>44</v>
      </c>
      <c r="F26" s="318" t="s">
        <v>44</v>
      </c>
      <c r="G26" s="319" t="s">
        <v>52</v>
      </c>
      <c r="H26" s="319" t="s">
        <v>119</v>
      </c>
      <c r="I26" s="319">
        <v>333</v>
      </c>
      <c r="J26" s="342">
        <v>1.3243243243243243</v>
      </c>
      <c r="K26" s="322">
        <f t="shared" si="1"/>
        <v>441</v>
      </c>
      <c r="L26" s="319" t="s">
        <v>120</v>
      </c>
      <c r="M26" s="343">
        <v>46049</v>
      </c>
      <c r="N26" s="344">
        <v>46034</v>
      </c>
      <c r="O26" s="532"/>
      <c r="P26" s="532"/>
      <c r="Q26" s="532"/>
      <c r="R26" s="532"/>
      <c r="S26" s="532"/>
      <c r="T26" s="532"/>
      <c r="U26" s="532"/>
      <c r="V26" s="532"/>
      <c r="W26" s="533"/>
      <c r="X26" s="533">
        <v>150</v>
      </c>
      <c r="Y26" s="533">
        <v>183</v>
      </c>
      <c r="Z26" s="534"/>
      <c r="AB26" s="317">
        <v>0</v>
      </c>
      <c r="AC26" s="319">
        <v>0</v>
      </c>
      <c r="AD26" s="325">
        <v>0</v>
      </c>
      <c r="AF26" s="329">
        <v>0.52390000000000003</v>
      </c>
      <c r="AG26" s="330">
        <v>0.03</v>
      </c>
      <c r="AH26" s="330"/>
      <c r="AI26" s="332" t="s">
        <v>273</v>
      </c>
      <c r="AJ26" s="326"/>
      <c r="AK26" s="327">
        <v>304</v>
      </c>
      <c r="AL26" s="327">
        <v>1620</v>
      </c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56" s="3" customFormat="1" ht="25.15" customHeight="1">
      <c r="A27" s="9" t="s">
        <v>110</v>
      </c>
      <c r="B27" s="16" t="s">
        <v>129</v>
      </c>
      <c r="C27" s="16" t="s">
        <v>116</v>
      </c>
      <c r="D27" s="7" t="s">
        <v>130</v>
      </c>
      <c r="E27" s="16" t="s">
        <v>44</v>
      </c>
      <c r="F27" s="16" t="s">
        <v>44</v>
      </c>
      <c r="G27" s="7" t="s">
        <v>52</v>
      </c>
      <c r="H27" s="7" t="s">
        <v>119</v>
      </c>
      <c r="I27" s="7">
        <v>50</v>
      </c>
      <c r="J27" s="298">
        <v>1.36</v>
      </c>
      <c r="K27" s="5">
        <f t="shared" si="1"/>
        <v>68</v>
      </c>
      <c r="L27" s="7" t="s">
        <v>132</v>
      </c>
      <c r="M27" s="268">
        <v>45373</v>
      </c>
      <c r="N27" s="109" t="s">
        <v>274</v>
      </c>
      <c r="O27" s="535"/>
      <c r="P27" s="535"/>
      <c r="Q27" s="535"/>
      <c r="R27" s="535"/>
      <c r="S27" s="535"/>
      <c r="T27" s="535"/>
      <c r="U27" s="535">
        <v>50</v>
      </c>
      <c r="V27" s="535"/>
      <c r="W27" s="358"/>
      <c r="X27" s="358"/>
      <c r="Y27" s="358"/>
      <c r="Z27" s="118"/>
      <c r="AB27" s="9">
        <v>0</v>
      </c>
      <c r="AC27" s="7">
        <v>0</v>
      </c>
      <c r="AD27" s="8"/>
      <c r="AF27" s="529">
        <v>0.99519999999999997</v>
      </c>
      <c r="AG27" s="289">
        <v>0.96199999999999997</v>
      </c>
      <c r="AH27" s="289">
        <v>0.91</v>
      </c>
      <c r="AI27" s="525" t="s">
        <v>261</v>
      </c>
      <c r="AK27" s="224">
        <v>56</v>
      </c>
      <c r="AL27" s="224">
        <v>90</v>
      </c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1:56" s="3" customFormat="1" ht="25.15" customHeight="1">
      <c r="A28" s="317" t="s">
        <v>133</v>
      </c>
      <c r="B28" s="318" t="s">
        <v>57</v>
      </c>
      <c r="C28" s="318" t="s">
        <v>111</v>
      </c>
      <c r="D28" s="333" t="s">
        <v>71</v>
      </c>
      <c r="E28" s="318" t="s">
        <v>44</v>
      </c>
      <c r="F28" s="320" t="s">
        <v>44</v>
      </c>
      <c r="G28" s="319" t="s">
        <v>52</v>
      </c>
      <c r="H28" s="333" t="s">
        <v>113</v>
      </c>
      <c r="I28" s="319">
        <v>425</v>
      </c>
      <c r="J28" s="342">
        <v>1.36</v>
      </c>
      <c r="K28" s="322">
        <f t="shared" si="1"/>
        <v>578</v>
      </c>
      <c r="L28" s="319" t="s">
        <v>75</v>
      </c>
      <c r="M28" s="323">
        <v>45961</v>
      </c>
      <c r="N28" s="343">
        <v>45990</v>
      </c>
      <c r="O28" s="532"/>
      <c r="P28" s="532"/>
      <c r="Q28" s="532"/>
      <c r="R28" s="532"/>
      <c r="S28" s="532"/>
      <c r="T28" s="532"/>
      <c r="U28" s="532"/>
      <c r="V28" s="532"/>
      <c r="W28" s="533"/>
      <c r="X28" s="533">
        <v>100</v>
      </c>
      <c r="Y28" s="533">
        <v>150</v>
      </c>
      <c r="Z28" s="534">
        <v>175</v>
      </c>
      <c r="AB28" s="317">
        <v>0</v>
      </c>
      <c r="AC28" s="319">
        <v>0</v>
      </c>
      <c r="AD28" s="325">
        <v>0</v>
      </c>
      <c r="AF28" s="329">
        <v>0.67800000000000005</v>
      </c>
      <c r="AG28" s="330">
        <v>0.18129999999999999</v>
      </c>
      <c r="AH28" s="330"/>
      <c r="AI28" s="332" t="s">
        <v>275</v>
      </c>
      <c r="AJ28" s="326"/>
      <c r="AK28" s="327">
        <v>794</v>
      </c>
      <c r="AL28" s="327">
        <v>1420</v>
      </c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1:56" s="11" customFormat="1" ht="24" customHeight="1">
      <c r="A29" s="100"/>
      <c r="B29" s="101" t="s">
        <v>276</v>
      </c>
      <c r="C29" s="101"/>
      <c r="D29" s="101"/>
      <c r="E29" s="101"/>
      <c r="F29" s="101"/>
      <c r="G29" s="101"/>
      <c r="H29" s="28"/>
      <c r="I29" s="31">
        <f>SUM(I5:I28)-I16</f>
        <v>4484.5</v>
      </c>
      <c r="J29" s="29"/>
      <c r="K29" s="31">
        <f>SUM(K5:K28)-K16</f>
        <v>6092.0999999999995</v>
      </c>
      <c r="L29" s="28"/>
      <c r="M29" s="103"/>
      <c r="N29" s="104"/>
      <c r="O29" s="270">
        <f>SUM(O5:O28)-O16</f>
        <v>370</v>
      </c>
      <c r="P29" s="270">
        <f t="shared" ref="P29:Z29" si="5">SUM(P5:P28)-P16</f>
        <v>287.5</v>
      </c>
      <c r="Q29" s="270">
        <f t="shared" si="5"/>
        <v>637.5</v>
      </c>
      <c r="R29" s="270">
        <f t="shared" si="5"/>
        <v>60</v>
      </c>
      <c r="S29" s="270">
        <f t="shared" si="5"/>
        <v>262.5</v>
      </c>
      <c r="T29" s="270">
        <f t="shared" si="5"/>
        <v>500</v>
      </c>
      <c r="U29" s="270">
        <f t="shared" si="5"/>
        <v>125</v>
      </c>
      <c r="V29" s="270">
        <f t="shared" si="5"/>
        <v>250</v>
      </c>
      <c r="W29" s="270">
        <f t="shared" si="5"/>
        <v>275</v>
      </c>
      <c r="X29" s="31">
        <f t="shared" si="5"/>
        <v>837.5</v>
      </c>
      <c r="Y29" s="31">
        <f t="shared" si="5"/>
        <v>704.5</v>
      </c>
      <c r="Z29" s="31">
        <f t="shared" si="5"/>
        <v>175</v>
      </c>
      <c r="AA29"/>
      <c r="AB29" s="31">
        <f t="shared" ref="AB29:AD29" si="6">SUM(AB5:AB28)</f>
        <v>0</v>
      </c>
      <c r="AC29" s="31">
        <f t="shared" si="6"/>
        <v>0</v>
      </c>
      <c r="AD29" s="31">
        <f t="shared" si="6"/>
        <v>0</v>
      </c>
      <c r="AE29"/>
      <c r="AF29" s="31"/>
      <c r="AG29" s="31"/>
      <c r="AH29" s="31"/>
      <c r="AI29" s="31"/>
      <c r="AK29" s="31">
        <f>SUM(AK4:AK28)</f>
        <v>3930</v>
      </c>
      <c r="AL29" s="31">
        <f t="shared" ref="AL29" si="7">SUM(AL5:AL28)</f>
        <v>7397</v>
      </c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1:56" ht="19.5" customHeight="1">
      <c r="A30" s="271" t="s">
        <v>201</v>
      </c>
      <c r="B30" s="272"/>
      <c r="C30" s="272"/>
      <c r="D30" s="273"/>
      <c r="E30" s="272"/>
      <c r="F30" s="272"/>
      <c r="G30" s="272"/>
      <c r="H30" s="273"/>
      <c r="I30" s="272"/>
      <c r="J30" s="272"/>
      <c r="K30" s="272"/>
      <c r="L30" s="272"/>
      <c r="M30" s="272"/>
      <c r="N30" s="272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  <c r="AB30" s="275"/>
      <c r="AC30" s="274"/>
      <c r="AD30" s="276"/>
      <c r="AF30" s="277"/>
      <c r="AG30" s="278"/>
      <c r="AH30" s="278"/>
      <c r="AI30" s="278"/>
      <c r="AK30" s="314"/>
      <c r="AL30" s="314"/>
    </row>
    <row r="31" spans="1:56" s="3" customFormat="1" ht="25.15" customHeight="1">
      <c r="A31" s="9" t="s">
        <v>138</v>
      </c>
      <c r="B31" s="16" t="s">
        <v>139</v>
      </c>
      <c r="C31" s="16" t="s">
        <v>139</v>
      </c>
      <c r="D31" s="7" t="s">
        <v>91</v>
      </c>
      <c r="E31" s="16" t="s">
        <v>62</v>
      </c>
      <c r="F31" s="16" t="s">
        <v>62</v>
      </c>
      <c r="G31" s="7" t="s">
        <v>34</v>
      </c>
      <c r="H31" s="72" t="s">
        <v>74</v>
      </c>
      <c r="I31" s="7">
        <v>12.5</v>
      </c>
      <c r="J31" s="7">
        <v>1.35</v>
      </c>
      <c r="K31" s="5">
        <f t="shared" ref="K31:K33" si="8">J31*I31</f>
        <v>16.875</v>
      </c>
      <c r="L31" s="7" t="s">
        <v>75</v>
      </c>
      <c r="M31" s="323">
        <v>45961</v>
      </c>
      <c r="N31" s="109" t="s">
        <v>76</v>
      </c>
      <c r="O31" s="7"/>
      <c r="P31" s="7"/>
      <c r="Q31" s="7"/>
      <c r="R31" s="7"/>
      <c r="S31" s="7"/>
      <c r="T31" s="93"/>
      <c r="U31" s="7"/>
      <c r="V31" s="7"/>
      <c r="W31" s="7"/>
      <c r="X31" s="7"/>
      <c r="Y31" s="7">
        <v>12.5</v>
      </c>
      <c r="Z31" s="8"/>
      <c r="AB31" s="280">
        <v>0</v>
      </c>
      <c r="AC31" s="72">
        <v>0</v>
      </c>
      <c r="AD31" s="88">
        <v>0</v>
      </c>
      <c r="AF31" s="291"/>
      <c r="AG31" s="292"/>
      <c r="AH31" s="292"/>
      <c r="AI31" s="293"/>
      <c r="AK31" s="315"/>
      <c r="AL31" s="526">
        <v>30</v>
      </c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1:56" s="3" customFormat="1" ht="25.15" customHeight="1">
      <c r="A32" s="317" t="s">
        <v>141</v>
      </c>
      <c r="B32" s="318" t="s">
        <v>142</v>
      </c>
      <c r="C32" s="318" t="s">
        <v>142</v>
      </c>
      <c r="D32" s="319" t="s">
        <v>91</v>
      </c>
      <c r="E32" s="318" t="s">
        <v>62</v>
      </c>
      <c r="F32" s="318" t="s">
        <v>62</v>
      </c>
      <c r="G32" s="319" t="s">
        <v>34</v>
      </c>
      <c r="H32" s="333" t="s">
        <v>74</v>
      </c>
      <c r="I32" s="319">
        <v>12.5</v>
      </c>
      <c r="J32" s="319">
        <v>1.35</v>
      </c>
      <c r="K32" s="322">
        <f t="shared" si="8"/>
        <v>16.875</v>
      </c>
      <c r="L32" s="319" t="s">
        <v>75</v>
      </c>
      <c r="M32" s="323">
        <v>45961</v>
      </c>
      <c r="N32" s="328" t="s">
        <v>76</v>
      </c>
      <c r="O32" s="319"/>
      <c r="P32" s="319"/>
      <c r="Q32" s="319"/>
      <c r="R32" s="319"/>
      <c r="S32" s="319"/>
      <c r="T32" s="334"/>
      <c r="U32" s="319"/>
      <c r="V32" s="319"/>
      <c r="W32" s="319"/>
      <c r="X32" s="319"/>
      <c r="Y32" s="319">
        <v>12.5</v>
      </c>
      <c r="Z32" s="325"/>
      <c r="AB32" s="345">
        <v>0</v>
      </c>
      <c r="AC32" s="333">
        <v>0</v>
      </c>
      <c r="AD32" s="340">
        <v>0</v>
      </c>
      <c r="AF32" s="346"/>
      <c r="AG32" s="347"/>
      <c r="AH32" s="347"/>
      <c r="AI32" s="348"/>
      <c r="AJ32" s="326"/>
      <c r="AK32" s="349"/>
      <c r="AL32" s="527">
        <v>30</v>
      </c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1:56" s="3" customFormat="1" ht="25.15" customHeight="1">
      <c r="A33" s="9" t="s">
        <v>143</v>
      </c>
      <c r="B33" s="16" t="s">
        <v>30</v>
      </c>
      <c r="C33" s="16" t="s">
        <v>144</v>
      </c>
      <c r="D33" s="7" t="s">
        <v>91</v>
      </c>
      <c r="E33" s="16" t="s">
        <v>33</v>
      </c>
      <c r="F33" s="16" t="s">
        <v>33</v>
      </c>
      <c r="G33" s="7" t="s">
        <v>34</v>
      </c>
      <c r="H33" s="72" t="s">
        <v>74</v>
      </c>
      <c r="I33" s="7">
        <v>25</v>
      </c>
      <c r="J33" s="7">
        <v>1.35</v>
      </c>
      <c r="K33" s="5">
        <f t="shared" si="8"/>
        <v>33.75</v>
      </c>
      <c r="L33" s="7" t="s">
        <v>75</v>
      </c>
      <c r="M33" s="323">
        <v>45961</v>
      </c>
      <c r="N33" s="109" t="s">
        <v>76</v>
      </c>
      <c r="O33" s="7"/>
      <c r="P33" s="7"/>
      <c r="Q33" s="7"/>
      <c r="R33" s="7"/>
      <c r="S33" s="7"/>
      <c r="T33" s="93"/>
      <c r="U33" s="7"/>
      <c r="V33" s="7"/>
      <c r="W33" s="7"/>
      <c r="X33" s="7"/>
      <c r="Y33" s="7">
        <v>25</v>
      </c>
      <c r="Z33" s="8"/>
      <c r="AB33" s="280">
        <v>0</v>
      </c>
      <c r="AC33" s="72">
        <v>0</v>
      </c>
      <c r="AD33" s="88">
        <v>0</v>
      </c>
      <c r="AF33" s="294"/>
      <c r="AG33" s="295"/>
      <c r="AH33" s="295"/>
      <c r="AI33" s="296"/>
      <c r="AK33" s="316"/>
      <c r="AL33" s="528">
        <v>60</v>
      </c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1:56" s="11" customFormat="1" ht="24" customHeight="1">
      <c r="A34" s="100"/>
      <c r="B34" s="101" t="s">
        <v>277</v>
      </c>
      <c r="C34" s="101"/>
      <c r="D34" s="101"/>
      <c r="E34" s="101"/>
      <c r="F34" s="101"/>
      <c r="G34" s="101"/>
      <c r="H34" s="28"/>
      <c r="I34" s="31">
        <f>SUM(I31:I33)</f>
        <v>50</v>
      </c>
      <c r="J34" s="29"/>
      <c r="K34" s="31">
        <f>SUM(K31:K33)</f>
        <v>67.5</v>
      </c>
      <c r="L34" s="28"/>
      <c r="M34" s="103"/>
      <c r="N34" s="104"/>
      <c r="O34" s="270">
        <f>SUM(O31:O33)</f>
        <v>0</v>
      </c>
      <c r="P34" s="270">
        <f t="shared" ref="P34:Z34" si="9">SUM(P31:P33)</f>
        <v>0</v>
      </c>
      <c r="Q34" s="270">
        <f t="shared" si="9"/>
        <v>0</v>
      </c>
      <c r="R34" s="270">
        <f t="shared" si="9"/>
        <v>0</v>
      </c>
      <c r="S34" s="270">
        <f t="shared" si="9"/>
        <v>0</v>
      </c>
      <c r="T34" s="270">
        <f t="shared" si="9"/>
        <v>0</v>
      </c>
      <c r="U34" s="31">
        <f t="shared" si="9"/>
        <v>0</v>
      </c>
      <c r="V34" s="31">
        <f t="shared" si="9"/>
        <v>0</v>
      </c>
      <c r="W34" s="31">
        <f t="shared" si="9"/>
        <v>0</v>
      </c>
      <c r="X34" s="31">
        <f t="shared" si="9"/>
        <v>0</v>
      </c>
      <c r="Y34" s="31">
        <f t="shared" si="9"/>
        <v>50</v>
      </c>
      <c r="Z34" s="31">
        <f t="shared" si="9"/>
        <v>0</v>
      </c>
      <c r="AA34"/>
      <c r="AB34" s="31">
        <f t="shared" ref="AB34:AD34" si="10">SUM(AB31:AB33)</f>
        <v>0</v>
      </c>
      <c r="AC34" s="31">
        <f t="shared" si="10"/>
        <v>0</v>
      </c>
      <c r="AD34" s="31">
        <f t="shared" si="10"/>
        <v>0</v>
      </c>
      <c r="AE34"/>
      <c r="AF34" s="31"/>
      <c r="AG34" s="31"/>
      <c r="AH34" s="31"/>
      <c r="AI34" s="31"/>
      <c r="AK34" s="31"/>
      <c r="AL34" s="31">
        <f>SUM(AL31:AL33)</f>
        <v>120</v>
      </c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1:56" ht="19.5" customHeight="1">
      <c r="A35" s="271" t="s">
        <v>278</v>
      </c>
      <c r="B35" s="272"/>
      <c r="C35" s="272"/>
      <c r="D35" s="273"/>
      <c r="E35" s="272"/>
      <c r="F35" s="272"/>
      <c r="G35" s="272"/>
      <c r="H35" s="273"/>
      <c r="I35" s="272"/>
      <c r="J35" s="272"/>
      <c r="K35" s="272"/>
      <c r="L35" s="272"/>
      <c r="M35" s="272"/>
      <c r="N35" s="272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B35" s="275"/>
      <c r="AC35" s="274"/>
      <c r="AD35" s="276"/>
      <c r="AF35" s="277"/>
      <c r="AG35" s="278"/>
      <c r="AH35" s="278"/>
      <c r="AI35" s="278"/>
      <c r="AK35" s="314"/>
      <c r="AL35" s="314"/>
    </row>
    <row r="36" spans="1:56" s="3" customFormat="1" ht="25.15" customHeight="1">
      <c r="A36" s="9" t="s">
        <v>134</v>
      </c>
      <c r="B36" s="16" t="s">
        <v>84</v>
      </c>
      <c r="C36" s="16" t="s">
        <v>50</v>
      </c>
      <c r="D36" s="7" t="s">
        <v>135</v>
      </c>
      <c r="E36" s="16" t="s">
        <v>33</v>
      </c>
      <c r="F36" s="16" t="s">
        <v>33</v>
      </c>
      <c r="G36" s="7" t="s">
        <v>34</v>
      </c>
      <c r="H36" s="72" t="s">
        <v>74</v>
      </c>
      <c r="I36" s="7">
        <v>300</v>
      </c>
      <c r="J36" s="7">
        <v>1.35</v>
      </c>
      <c r="K36" s="5">
        <f>J36*I36</f>
        <v>405</v>
      </c>
      <c r="L36" s="7" t="s">
        <v>136</v>
      </c>
      <c r="M36" s="17">
        <v>45996</v>
      </c>
      <c r="N36" s="109" t="s">
        <v>76</v>
      </c>
      <c r="O36" s="7"/>
      <c r="P36" s="7"/>
      <c r="Q36" s="7"/>
      <c r="R36" s="7"/>
      <c r="S36" s="7"/>
      <c r="T36" s="93"/>
      <c r="U36" s="7"/>
      <c r="V36" s="7"/>
      <c r="W36" s="7"/>
      <c r="X36" s="62"/>
      <c r="Y36" s="72"/>
      <c r="Z36" s="88"/>
      <c r="AB36" s="280">
        <v>0</v>
      </c>
      <c r="AC36" s="72">
        <v>0</v>
      </c>
      <c r="AD36" s="88">
        <v>0</v>
      </c>
      <c r="AF36" s="291"/>
      <c r="AG36" s="292"/>
      <c r="AH36" s="292"/>
      <c r="AI36" s="293"/>
      <c r="AK36" s="224"/>
      <c r="AL36" s="224">
        <v>890</v>
      </c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1:56" s="3" customFormat="1" ht="25.15" customHeight="1">
      <c r="A37" s="317" t="s">
        <v>137</v>
      </c>
      <c r="B37" s="318" t="str">
        <f>B8</f>
        <v>MLP AP New</v>
      </c>
      <c r="C37" s="318" t="str">
        <f>C8</f>
        <v>ARE57L</v>
      </c>
      <c r="D37" s="319" t="str">
        <f>D8</f>
        <v>A-12</v>
      </c>
      <c r="E37" s="318" t="s">
        <v>44</v>
      </c>
      <c r="F37" s="318" t="s">
        <v>44</v>
      </c>
      <c r="G37" s="319" t="s">
        <v>34</v>
      </c>
      <c r="H37" s="333" t="s">
        <v>113</v>
      </c>
      <c r="I37" s="319">
        <v>350</v>
      </c>
      <c r="J37" s="319">
        <v>1.35</v>
      </c>
      <c r="K37" s="322">
        <f>J37*I37</f>
        <v>472.50000000000006</v>
      </c>
      <c r="L37" s="319" t="str">
        <f>L8</f>
        <v>PSS-13</v>
      </c>
      <c r="M37" s="323">
        <v>45708</v>
      </c>
      <c r="N37" s="328" t="s">
        <v>262</v>
      </c>
      <c r="O37" s="319"/>
      <c r="P37" s="319"/>
      <c r="Q37" s="319"/>
      <c r="R37" s="319"/>
      <c r="S37" s="319"/>
      <c r="T37" s="334"/>
      <c r="U37" s="319"/>
      <c r="V37" s="319"/>
      <c r="W37" s="319"/>
      <c r="X37" s="333"/>
      <c r="Y37" s="333"/>
      <c r="Z37" s="340"/>
      <c r="AB37" s="345">
        <v>0</v>
      </c>
      <c r="AC37" s="333">
        <v>0</v>
      </c>
      <c r="AD37" s="340">
        <v>0</v>
      </c>
      <c r="AF37" s="346">
        <v>0.98608962667097633</v>
      </c>
      <c r="AG37" s="347">
        <v>1.8700000000000001E-2</v>
      </c>
      <c r="AH37" s="347">
        <v>0</v>
      </c>
      <c r="AI37" s="332" t="s">
        <v>279</v>
      </c>
      <c r="AJ37" s="326"/>
      <c r="AK37" s="327"/>
      <c r="AL37" s="327">
        <v>870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</row>
    <row r="38" spans="1:56" s="11" customFormat="1" ht="24" customHeight="1">
      <c r="A38" s="100"/>
      <c r="B38" s="101" t="s">
        <v>280</v>
      </c>
      <c r="C38" s="101"/>
      <c r="D38" s="101"/>
      <c r="E38" s="101"/>
      <c r="F38" s="101"/>
      <c r="G38" s="101"/>
      <c r="H38" s="28"/>
      <c r="I38" s="31">
        <f>SUM(I36:I37)</f>
        <v>650</v>
      </c>
      <c r="J38" s="29"/>
      <c r="K38" s="31">
        <f>SUM(K36:K37)</f>
        <v>877.5</v>
      </c>
      <c r="L38" s="28"/>
      <c r="M38" s="103"/>
      <c r="N38" s="104"/>
      <c r="O38" s="270">
        <f>SUM(O36:O37)</f>
        <v>0</v>
      </c>
      <c r="P38" s="270">
        <f t="shared" ref="P38:Z38" si="11">SUM(P36:P37)</f>
        <v>0</v>
      </c>
      <c r="Q38" s="270">
        <f t="shared" si="11"/>
        <v>0</v>
      </c>
      <c r="R38" s="270">
        <f t="shared" si="11"/>
        <v>0</v>
      </c>
      <c r="S38" s="270">
        <f t="shared" si="11"/>
        <v>0</v>
      </c>
      <c r="T38" s="270">
        <f t="shared" si="11"/>
        <v>0</v>
      </c>
      <c r="U38" s="31">
        <f t="shared" si="11"/>
        <v>0</v>
      </c>
      <c r="V38" s="31">
        <f t="shared" si="11"/>
        <v>0</v>
      </c>
      <c r="W38" s="31">
        <f t="shared" si="11"/>
        <v>0</v>
      </c>
      <c r="X38" s="31">
        <f t="shared" si="11"/>
        <v>0</v>
      </c>
      <c r="Y38" s="31">
        <f t="shared" si="11"/>
        <v>0</v>
      </c>
      <c r="Z38" s="31">
        <f t="shared" si="11"/>
        <v>0</v>
      </c>
      <c r="AA38"/>
      <c r="AB38" s="31">
        <f t="shared" ref="AB38:AD38" si="12">SUM(AB36:AB37)</f>
        <v>0</v>
      </c>
      <c r="AC38" s="31">
        <f t="shared" si="12"/>
        <v>0</v>
      </c>
      <c r="AD38" s="31">
        <f t="shared" si="12"/>
        <v>0</v>
      </c>
      <c r="AE38"/>
      <c r="AF38" s="31"/>
      <c r="AG38" s="31"/>
      <c r="AH38" s="31"/>
      <c r="AI38" s="31"/>
      <c r="AK38" s="31">
        <f>AK36+AK37</f>
        <v>0</v>
      </c>
      <c r="AL38" s="31">
        <f>AL36+AL37</f>
        <v>1760</v>
      </c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</row>
    <row r="39" spans="1:56" s="11" customFormat="1" ht="24" customHeight="1">
      <c r="A39" s="100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2"/>
      <c r="AA39"/>
      <c r="AB39" s="100"/>
      <c r="AC39" s="101"/>
      <c r="AD39" s="102"/>
      <c r="AE39"/>
      <c r="AF39" s="100"/>
      <c r="AG39" s="101"/>
      <c r="AH39" s="101"/>
      <c r="AI39" s="102"/>
      <c r="AK39" s="28"/>
      <c r="AL39" s="102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</row>
    <row r="40" spans="1:56" s="11" customFormat="1" ht="24" customHeight="1">
      <c r="A40" s="282" t="s">
        <v>281</v>
      </c>
      <c r="B40" s="283"/>
      <c r="C40" s="283"/>
      <c r="D40" s="283"/>
      <c r="E40" s="283"/>
      <c r="F40" s="283"/>
      <c r="G40" s="283"/>
      <c r="H40" s="284"/>
      <c r="I40" s="281">
        <f>+I29+I34+I38</f>
        <v>5184.5</v>
      </c>
      <c r="J40" s="285"/>
      <c r="K40" s="281">
        <f>+K29+K34+K38</f>
        <v>7037.0999999999995</v>
      </c>
      <c r="L40" s="284"/>
      <c r="M40" s="286"/>
      <c r="N40" s="287"/>
      <c r="O40" s="281">
        <f>+O29+O34+O38</f>
        <v>370</v>
      </c>
      <c r="P40" s="281">
        <f t="shared" ref="P40:Z40" si="13">+P29+P34+P38</f>
        <v>287.5</v>
      </c>
      <c r="Q40" s="281">
        <f t="shared" si="13"/>
        <v>637.5</v>
      </c>
      <c r="R40" s="281">
        <f t="shared" si="13"/>
        <v>60</v>
      </c>
      <c r="S40" s="281">
        <f t="shared" si="13"/>
        <v>262.5</v>
      </c>
      <c r="T40" s="281">
        <f t="shared" si="13"/>
        <v>500</v>
      </c>
      <c r="U40" s="281">
        <f t="shared" si="13"/>
        <v>125</v>
      </c>
      <c r="V40" s="281">
        <f t="shared" si="13"/>
        <v>250</v>
      </c>
      <c r="W40" s="281">
        <f t="shared" si="13"/>
        <v>275</v>
      </c>
      <c r="X40" s="281">
        <f t="shared" si="13"/>
        <v>837.5</v>
      </c>
      <c r="Y40" s="281">
        <f t="shared" si="13"/>
        <v>754.5</v>
      </c>
      <c r="Z40" s="281">
        <f t="shared" si="13"/>
        <v>175</v>
      </c>
      <c r="AA40"/>
      <c r="AB40" s="281">
        <f t="shared" ref="AB40:AD40" si="14">+AB29+AB34+AB38</f>
        <v>0</v>
      </c>
      <c r="AC40" s="281">
        <f t="shared" si="14"/>
        <v>0</v>
      </c>
      <c r="AD40" s="281">
        <f t="shared" si="14"/>
        <v>0</v>
      </c>
      <c r="AE40"/>
      <c r="AF40" s="281"/>
      <c r="AG40" s="281"/>
      <c r="AH40" s="281"/>
      <c r="AI40" s="281"/>
      <c r="AK40" s="281">
        <f t="shared" ref="AK40" si="15">+AK29+AK34+AK38</f>
        <v>3930</v>
      </c>
      <c r="AL40" s="281">
        <f t="shared" ref="AL40" si="16">+AL29+AL34+AL38</f>
        <v>9277</v>
      </c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</row>
    <row r="46" spans="1:56">
      <c r="L46" s="39" t="s">
        <v>132</v>
      </c>
      <c r="M46" s="38"/>
      <c r="N46" s="38"/>
      <c r="O46" s="39">
        <f>SUMIF($L$5:$L$40,$L46,O$5:O$40)</f>
        <v>0</v>
      </c>
      <c r="P46" s="39">
        <f t="shared" ref="P46:Z46" si="17">SUMIF($L$5:$L$40,$L46,P$5:P$40)</f>
        <v>0</v>
      </c>
      <c r="Q46" s="39">
        <f t="shared" si="17"/>
        <v>0</v>
      </c>
      <c r="R46" s="39">
        <f t="shared" si="17"/>
        <v>0</v>
      </c>
      <c r="S46" s="39">
        <f t="shared" si="17"/>
        <v>0</v>
      </c>
      <c r="T46" s="39">
        <f t="shared" si="17"/>
        <v>0</v>
      </c>
      <c r="U46" s="39">
        <f t="shared" si="17"/>
        <v>50</v>
      </c>
      <c r="V46" s="39">
        <f t="shared" si="17"/>
        <v>0</v>
      </c>
      <c r="W46" s="39">
        <f t="shared" si="17"/>
        <v>0</v>
      </c>
      <c r="X46" s="39">
        <f t="shared" si="17"/>
        <v>0</v>
      </c>
      <c r="Y46" s="39">
        <f t="shared" si="17"/>
        <v>0</v>
      </c>
      <c r="Z46" s="39">
        <f t="shared" si="17"/>
        <v>0</v>
      </c>
    </row>
    <row r="47" spans="1:56">
      <c r="L47" s="39" t="s">
        <v>39</v>
      </c>
      <c r="M47" s="38"/>
      <c r="N47" s="38"/>
      <c r="O47" s="39">
        <f t="shared" ref="O47:Z54" si="18">SUMIF($L$5:$L$40,$L47,O$5:O$40)</f>
        <v>0</v>
      </c>
      <c r="P47" s="39">
        <f t="shared" si="18"/>
        <v>50</v>
      </c>
      <c r="Q47" s="39">
        <f t="shared" si="18"/>
        <v>0</v>
      </c>
      <c r="R47" s="39">
        <f t="shared" si="18"/>
        <v>0</v>
      </c>
      <c r="S47" s="39">
        <f t="shared" si="18"/>
        <v>0</v>
      </c>
      <c r="T47" s="39">
        <f t="shared" si="18"/>
        <v>50</v>
      </c>
      <c r="U47" s="39">
        <f t="shared" si="18"/>
        <v>0</v>
      </c>
      <c r="V47" s="39">
        <f t="shared" si="18"/>
        <v>0</v>
      </c>
      <c r="W47" s="39">
        <f t="shared" si="18"/>
        <v>75</v>
      </c>
      <c r="X47" s="39">
        <f t="shared" si="18"/>
        <v>0</v>
      </c>
      <c r="Y47" s="39">
        <f t="shared" si="18"/>
        <v>0</v>
      </c>
      <c r="Z47" s="39">
        <f t="shared" si="18"/>
        <v>0</v>
      </c>
    </row>
    <row r="48" spans="1:56">
      <c r="L48" s="39" t="s">
        <v>53</v>
      </c>
      <c r="M48" s="38"/>
      <c r="N48" s="38"/>
      <c r="O48" s="39">
        <f t="shared" si="18"/>
        <v>195</v>
      </c>
      <c r="P48" s="39">
        <f t="shared" si="18"/>
        <v>0</v>
      </c>
      <c r="Q48" s="39">
        <f t="shared" si="18"/>
        <v>275</v>
      </c>
      <c r="R48" s="39">
        <f t="shared" si="18"/>
        <v>0</v>
      </c>
      <c r="S48" s="39">
        <f t="shared" si="18"/>
        <v>50</v>
      </c>
      <c r="T48" s="39">
        <f t="shared" si="18"/>
        <v>150</v>
      </c>
      <c r="U48" s="39">
        <f t="shared" si="18"/>
        <v>75</v>
      </c>
      <c r="V48" s="39">
        <f t="shared" si="18"/>
        <v>0</v>
      </c>
      <c r="W48" s="39">
        <f t="shared" si="18"/>
        <v>75</v>
      </c>
      <c r="X48" s="39">
        <f t="shared" si="18"/>
        <v>75</v>
      </c>
      <c r="Y48" s="39">
        <f t="shared" si="18"/>
        <v>75</v>
      </c>
      <c r="Z48" s="39">
        <f t="shared" si="18"/>
        <v>0</v>
      </c>
    </row>
    <row r="49" spans="12:26">
      <c r="L49" s="39" t="s">
        <v>120</v>
      </c>
      <c r="M49" s="38"/>
      <c r="N49" s="38"/>
      <c r="O49" s="39">
        <f t="shared" si="18"/>
        <v>0</v>
      </c>
      <c r="P49" s="39">
        <f t="shared" si="18"/>
        <v>0</v>
      </c>
      <c r="Q49" s="39">
        <f t="shared" si="18"/>
        <v>0</v>
      </c>
      <c r="R49" s="39">
        <f t="shared" si="18"/>
        <v>0</v>
      </c>
      <c r="S49" s="39">
        <f t="shared" si="18"/>
        <v>0</v>
      </c>
      <c r="T49" s="39">
        <f t="shared" si="18"/>
        <v>0</v>
      </c>
      <c r="U49" s="39">
        <f t="shared" si="18"/>
        <v>0</v>
      </c>
      <c r="V49" s="39">
        <f t="shared" si="18"/>
        <v>0</v>
      </c>
      <c r="W49" s="39">
        <f t="shared" si="18"/>
        <v>0</v>
      </c>
      <c r="X49" s="39">
        <f t="shared" si="18"/>
        <v>475</v>
      </c>
      <c r="Y49" s="39">
        <f t="shared" si="18"/>
        <v>275</v>
      </c>
      <c r="Z49" s="39">
        <f t="shared" si="18"/>
        <v>0</v>
      </c>
    </row>
    <row r="50" spans="12:26">
      <c r="L50" s="39" t="s">
        <v>75</v>
      </c>
      <c r="M50" s="38"/>
      <c r="N50" s="38"/>
      <c r="O50" s="39">
        <f t="shared" si="18"/>
        <v>0</v>
      </c>
      <c r="P50" s="39">
        <f t="shared" si="18"/>
        <v>0</v>
      </c>
      <c r="Q50" s="39">
        <f t="shared" si="18"/>
        <v>0</v>
      </c>
      <c r="R50" s="39">
        <f t="shared" si="18"/>
        <v>60</v>
      </c>
      <c r="S50" s="39">
        <f t="shared" si="18"/>
        <v>0</v>
      </c>
      <c r="T50" s="39">
        <f t="shared" si="18"/>
        <v>50</v>
      </c>
      <c r="U50" s="39">
        <f t="shared" si="18"/>
        <v>0</v>
      </c>
      <c r="V50" s="39">
        <f t="shared" si="18"/>
        <v>0</v>
      </c>
      <c r="W50" s="39">
        <f t="shared" si="18"/>
        <v>75</v>
      </c>
      <c r="X50" s="39">
        <f t="shared" si="18"/>
        <v>150</v>
      </c>
      <c r="Y50" s="39">
        <f t="shared" si="18"/>
        <v>250</v>
      </c>
      <c r="Z50" s="39">
        <f t="shared" si="18"/>
        <v>175</v>
      </c>
    </row>
    <row r="51" spans="12:26">
      <c r="L51" s="39" t="s">
        <v>35</v>
      </c>
      <c r="M51" s="38"/>
      <c r="N51" s="38"/>
      <c r="O51" s="39">
        <f t="shared" si="18"/>
        <v>0</v>
      </c>
      <c r="P51" s="39">
        <f t="shared" si="18"/>
        <v>75</v>
      </c>
      <c r="Q51" s="39">
        <f t="shared" si="18"/>
        <v>50</v>
      </c>
      <c r="R51" s="39">
        <f t="shared" si="18"/>
        <v>0</v>
      </c>
      <c r="S51" s="39">
        <f t="shared" si="18"/>
        <v>125</v>
      </c>
      <c r="T51" s="39">
        <f t="shared" si="18"/>
        <v>100</v>
      </c>
      <c r="U51" s="39">
        <f t="shared" si="18"/>
        <v>0</v>
      </c>
      <c r="V51" s="39">
        <f t="shared" si="18"/>
        <v>0</v>
      </c>
      <c r="W51" s="39">
        <f t="shared" si="18"/>
        <v>0</v>
      </c>
      <c r="X51" s="39">
        <f t="shared" si="18"/>
        <v>0</v>
      </c>
      <c r="Y51" s="39">
        <f t="shared" si="18"/>
        <v>0</v>
      </c>
      <c r="Z51" s="39">
        <f t="shared" si="18"/>
        <v>0</v>
      </c>
    </row>
    <row r="52" spans="12:26">
      <c r="L52" s="39" t="s">
        <v>59</v>
      </c>
      <c r="M52" s="38"/>
      <c r="N52" s="38"/>
      <c r="O52" s="39">
        <f t="shared" si="18"/>
        <v>100</v>
      </c>
      <c r="P52" s="39">
        <f t="shared" si="18"/>
        <v>0</v>
      </c>
      <c r="Q52" s="39">
        <f t="shared" si="18"/>
        <v>137.5</v>
      </c>
      <c r="R52" s="39">
        <f t="shared" si="18"/>
        <v>0</v>
      </c>
      <c r="S52" s="39">
        <f t="shared" si="18"/>
        <v>87.5</v>
      </c>
      <c r="T52" s="39">
        <f t="shared" si="18"/>
        <v>150</v>
      </c>
      <c r="U52" s="39">
        <f t="shared" si="18"/>
        <v>0</v>
      </c>
      <c r="V52" s="39">
        <f t="shared" si="18"/>
        <v>125</v>
      </c>
      <c r="W52" s="39">
        <f t="shared" si="18"/>
        <v>50</v>
      </c>
      <c r="X52" s="39">
        <f t="shared" si="18"/>
        <v>137.5</v>
      </c>
      <c r="Y52" s="39">
        <f t="shared" si="18"/>
        <v>154.5</v>
      </c>
      <c r="Z52" s="39">
        <f t="shared" si="18"/>
        <v>0</v>
      </c>
    </row>
    <row r="53" spans="12:26">
      <c r="L53" s="39" t="s">
        <v>136</v>
      </c>
      <c r="M53" s="38"/>
      <c r="N53" s="38"/>
      <c r="O53" s="39">
        <f t="shared" si="18"/>
        <v>0</v>
      </c>
      <c r="P53" s="39">
        <f t="shared" si="18"/>
        <v>0</v>
      </c>
      <c r="Q53" s="39">
        <f t="shared" si="18"/>
        <v>0</v>
      </c>
      <c r="R53" s="39">
        <f t="shared" si="18"/>
        <v>0</v>
      </c>
      <c r="S53" s="39">
        <f t="shared" si="18"/>
        <v>0</v>
      </c>
      <c r="T53" s="39">
        <f t="shared" si="18"/>
        <v>0</v>
      </c>
      <c r="U53" s="39">
        <f t="shared" si="18"/>
        <v>0</v>
      </c>
      <c r="V53" s="39">
        <f t="shared" si="18"/>
        <v>0</v>
      </c>
      <c r="W53" s="39">
        <f t="shared" si="18"/>
        <v>0</v>
      </c>
      <c r="X53" s="39">
        <f t="shared" si="18"/>
        <v>0</v>
      </c>
      <c r="Y53" s="39">
        <f t="shared" si="18"/>
        <v>0</v>
      </c>
      <c r="Z53" s="39">
        <f t="shared" si="18"/>
        <v>0</v>
      </c>
    </row>
    <row r="54" spans="12:26">
      <c r="L54" s="39" t="s">
        <v>45</v>
      </c>
      <c r="M54" s="38"/>
      <c r="N54" s="38"/>
      <c r="O54" s="39">
        <f t="shared" si="18"/>
        <v>75</v>
      </c>
      <c r="P54" s="39">
        <f t="shared" si="18"/>
        <v>162.5</v>
      </c>
      <c r="Q54" s="39">
        <f t="shared" si="18"/>
        <v>175</v>
      </c>
      <c r="R54" s="39">
        <f t="shared" si="18"/>
        <v>0</v>
      </c>
      <c r="S54" s="39">
        <f t="shared" si="18"/>
        <v>0</v>
      </c>
      <c r="T54" s="39">
        <f t="shared" si="18"/>
        <v>0</v>
      </c>
      <c r="U54" s="39">
        <f t="shared" si="18"/>
        <v>0</v>
      </c>
      <c r="V54" s="39">
        <f t="shared" si="18"/>
        <v>125</v>
      </c>
      <c r="W54" s="39">
        <f t="shared" si="18"/>
        <v>0</v>
      </c>
      <c r="X54" s="39">
        <f t="shared" si="18"/>
        <v>0</v>
      </c>
      <c r="Y54" s="39">
        <f t="shared" si="18"/>
        <v>0</v>
      </c>
      <c r="Z54" s="39">
        <f t="shared" si="18"/>
        <v>0</v>
      </c>
    </row>
    <row r="55" spans="12:26">
      <c r="M55" s="63">
        <v>2642.5</v>
      </c>
    </row>
  </sheetData>
  <autoFilter ref="A3:BD38" xr:uid="{9FEB6540-C258-42A5-B27F-4341F96342BE}"/>
  <mergeCells count="4">
    <mergeCell ref="AB2:AD2"/>
    <mergeCell ref="AF2:AI2"/>
    <mergeCell ref="Y2:Z2"/>
    <mergeCell ref="AK2:AL2"/>
  </mergeCells>
  <printOptions horizontalCentered="1"/>
  <pageMargins left="0.23622047244094491" right="0.23622047244094491" top="0.35433070866141736" bottom="0.35433070866141736" header="0.31496062992125984" footer="0.31496062992125984"/>
  <pageSetup paperSize="8" scale="57" orientation="landscape" horizontalDpi="1200" verticalDpi="1200" r:id="rId1"/>
  <ignoredErrors>
    <ignoredError sqref="X16:Y1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CE06-2FC6-4CED-8E0F-C8103C9AE7D8}">
  <sheetPr codeName="Sheet7">
    <pageSetUpPr fitToPage="1"/>
  </sheetPr>
  <dimension ref="A1:AC37"/>
  <sheetViews>
    <sheetView showZeros="0" zoomScale="85" zoomScaleNormal="85" zoomScaleSheetLayoutView="100" workbookViewId="0">
      <selection activeCell="AF23" sqref="AE23:AP37"/>
    </sheetView>
  </sheetViews>
  <sheetFormatPr defaultRowHeight="13.5"/>
  <cols>
    <col min="1" max="1" width="8.5703125" customWidth="1"/>
    <col min="2" max="2" width="16.5703125" customWidth="1"/>
    <col min="3" max="3" width="12.140625" customWidth="1"/>
    <col min="4" max="4" width="13.85546875" customWidth="1"/>
    <col min="5" max="5" width="10.28515625" style="2" customWidth="1"/>
    <col min="6" max="6" width="7.5703125" style="2" customWidth="1"/>
    <col min="7" max="7" width="9.42578125" customWidth="1"/>
    <col min="8" max="8" width="7.42578125" customWidth="1"/>
    <col min="9" max="9" width="10.28515625" customWidth="1"/>
    <col min="10" max="10" width="18.42578125" style="2" hidden="1" customWidth="1"/>
    <col min="11" max="13" width="14.42578125" style="2" hidden="1" customWidth="1"/>
    <col min="14" max="14" width="8.85546875" style="2" hidden="1" customWidth="1"/>
    <col min="15" max="15" width="7.5703125" style="2" hidden="1" customWidth="1"/>
    <col min="16" max="27" width="7.5703125" customWidth="1"/>
    <col min="28" max="28" width="0" hidden="1" customWidth="1"/>
    <col min="29" max="29" width="10.5703125" hidden="1" customWidth="1"/>
    <col min="30" max="37" width="0" hidden="1" customWidth="1"/>
    <col min="38" max="38" width="0.85546875" bestFit="1" customWidth="1"/>
  </cols>
  <sheetData>
    <row r="1" spans="1:29" s="47" customFormat="1" ht="18.75">
      <c r="A1" s="48" t="s">
        <v>282</v>
      </c>
      <c r="B1"/>
      <c r="C1"/>
      <c r="D1"/>
      <c r="E1" s="2"/>
      <c r="F1" s="2"/>
      <c r="G1"/>
      <c r="H1"/>
      <c r="I1"/>
      <c r="J1" s="73"/>
      <c r="K1" s="73"/>
      <c r="L1" s="73"/>
      <c r="M1" s="73"/>
      <c r="N1" s="73"/>
      <c r="O1" s="73"/>
      <c r="U1" s="641" t="s">
        <v>1</v>
      </c>
      <c r="V1" s="641"/>
      <c r="W1" s="641"/>
      <c r="X1" s="641"/>
      <c r="Y1" s="641"/>
      <c r="Z1" s="46" t="s">
        <v>283</v>
      </c>
      <c r="AA1" s="49"/>
    </row>
    <row r="2" spans="1:29" ht="54.75" customHeight="1">
      <c r="A2" s="74" t="s">
        <v>2</v>
      </c>
      <c r="B2" s="75" t="s">
        <v>3</v>
      </c>
      <c r="C2" s="75" t="s">
        <v>4</v>
      </c>
      <c r="D2" s="75" t="s">
        <v>284</v>
      </c>
      <c r="E2" s="75" t="s">
        <v>7</v>
      </c>
      <c r="F2" s="75" t="s">
        <v>8</v>
      </c>
      <c r="G2" s="75" t="s">
        <v>11</v>
      </c>
      <c r="H2" s="75" t="s">
        <v>12</v>
      </c>
      <c r="I2" s="75" t="s">
        <v>13</v>
      </c>
      <c r="J2" s="75" t="s">
        <v>16</v>
      </c>
      <c r="K2" s="26" t="s">
        <v>285</v>
      </c>
      <c r="L2" s="76" t="s">
        <v>20</v>
      </c>
      <c r="M2" s="78"/>
      <c r="N2" s="40" t="s">
        <v>286</v>
      </c>
      <c r="O2" s="40">
        <v>45717</v>
      </c>
      <c r="P2" s="40">
        <v>45748</v>
      </c>
      <c r="Q2" s="40">
        <v>45778</v>
      </c>
      <c r="R2" s="40">
        <v>45809</v>
      </c>
      <c r="S2" s="40">
        <v>45839</v>
      </c>
      <c r="T2" s="40">
        <v>45870</v>
      </c>
      <c r="U2" s="40">
        <v>45901</v>
      </c>
      <c r="V2" s="41">
        <v>45931</v>
      </c>
      <c r="W2" s="40">
        <v>45962</v>
      </c>
      <c r="X2" s="40">
        <v>45992</v>
      </c>
      <c r="Y2" s="40">
        <v>46023</v>
      </c>
      <c r="Z2" s="40">
        <v>46054</v>
      </c>
      <c r="AA2" s="40">
        <v>46082</v>
      </c>
      <c r="AC2" s="77" t="s">
        <v>28</v>
      </c>
    </row>
    <row r="3" spans="1:29" s="3" customFormat="1" ht="25.5" customHeight="1">
      <c r="A3" s="9">
        <v>1</v>
      </c>
      <c r="B3" s="16" t="s">
        <v>287</v>
      </c>
      <c r="C3" s="16" t="s">
        <v>106</v>
      </c>
      <c r="D3" s="16" t="s">
        <v>288</v>
      </c>
      <c r="E3" s="7" t="s">
        <v>62</v>
      </c>
      <c r="F3" s="7" t="s">
        <v>52</v>
      </c>
      <c r="G3" s="7">
        <v>300</v>
      </c>
      <c r="H3" s="7">
        <v>1.42</v>
      </c>
      <c r="I3" s="5">
        <f>H3*G3</f>
        <v>426</v>
      </c>
      <c r="J3" s="57" t="s">
        <v>289</v>
      </c>
      <c r="K3" s="82">
        <v>45838</v>
      </c>
      <c r="L3" s="57"/>
      <c r="M3" s="57"/>
      <c r="N3" s="14"/>
      <c r="O3" s="17"/>
      <c r="P3" s="7"/>
      <c r="Q3" s="7"/>
      <c r="R3" s="7">
        <v>300</v>
      </c>
      <c r="S3" s="7"/>
      <c r="T3" s="14"/>
      <c r="U3" s="14"/>
      <c r="V3" s="14"/>
      <c r="W3" s="7"/>
      <c r="X3" s="7"/>
      <c r="Y3" s="7"/>
      <c r="Z3" s="7"/>
      <c r="AA3" s="14"/>
      <c r="AC3" s="56"/>
    </row>
    <row r="4" spans="1:29" s="3" customFormat="1" ht="28.5" customHeight="1">
      <c r="A4" s="9">
        <v>2</v>
      </c>
      <c r="B4" s="16" t="s">
        <v>290</v>
      </c>
      <c r="C4" s="16" t="s">
        <v>80</v>
      </c>
      <c r="D4" s="16" t="s">
        <v>193</v>
      </c>
      <c r="E4" s="7" t="s">
        <v>33</v>
      </c>
      <c r="F4" s="7" t="s">
        <v>34</v>
      </c>
      <c r="G4" s="7">
        <v>50</v>
      </c>
      <c r="H4" s="7">
        <v>1.37</v>
      </c>
      <c r="I4" s="5">
        <f>H4*G4</f>
        <v>68.5</v>
      </c>
      <c r="J4" s="57" t="s">
        <v>289</v>
      </c>
      <c r="K4" s="82">
        <v>45838</v>
      </c>
      <c r="L4" s="57"/>
      <c r="M4" s="57"/>
      <c r="N4" s="14"/>
      <c r="O4" s="17"/>
      <c r="P4" s="7"/>
      <c r="Q4" s="7"/>
      <c r="R4" s="7">
        <v>50</v>
      </c>
      <c r="S4" s="7"/>
      <c r="T4" s="14"/>
      <c r="U4" s="14"/>
      <c r="V4" s="17"/>
      <c r="W4" s="7"/>
      <c r="X4" s="7"/>
      <c r="Y4" s="7"/>
      <c r="Z4" s="7"/>
      <c r="AA4" s="14"/>
      <c r="AC4" s="56"/>
    </row>
    <row r="5" spans="1:29" s="3" customFormat="1" ht="18.75" customHeight="1">
      <c r="A5" s="9">
        <v>3</v>
      </c>
      <c r="B5" s="16" t="s">
        <v>197</v>
      </c>
      <c r="C5" s="16" t="s">
        <v>198</v>
      </c>
      <c r="D5" s="16" t="s">
        <v>199</v>
      </c>
      <c r="E5" s="7" t="s">
        <v>44</v>
      </c>
      <c r="F5" s="7" t="s">
        <v>52</v>
      </c>
      <c r="G5" s="7">
        <v>600</v>
      </c>
      <c r="H5" s="7">
        <v>1.36</v>
      </c>
      <c r="I5" s="5">
        <f>H5*G5</f>
        <v>816.00000000000011</v>
      </c>
      <c r="J5" s="53" t="s">
        <v>291</v>
      </c>
      <c r="K5" s="83">
        <v>46081</v>
      </c>
      <c r="L5" s="15" t="s">
        <v>292</v>
      </c>
      <c r="M5" s="15"/>
      <c r="N5" s="14"/>
      <c r="O5" s="17"/>
      <c r="P5" s="7"/>
      <c r="Q5" s="7"/>
      <c r="R5" s="7"/>
      <c r="S5" s="7"/>
      <c r="T5" s="14"/>
      <c r="U5" s="14"/>
      <c r="V5" s="14"/>
      <c r="W5" s="7"/>
      <c r="X5" s="7"/>
      <c r="Y5" s="7"/>
      <c r="Z5" s="7"/>
      <c r="AA5" s="14"/>
      <c r="AC5" s="14" t="s">
        <v>293</v>
      </c>
    </row>
    <row r="6" spans="1:29" s="3" customFormat="1" ht="17.25" customHeight="1">
      <c r="A6" s="9">
        <v>4</v>
      </c>
      <c r="B6" s="16" t="s">
        <v>294</v>
      </c>
      <c r="C6" s="16" t="s">
        <v>95</v>
      </c>
      <c r="D6" s="16" t="s">
        <v>194</v>
      </c>
      <c r="E6" s="7" t="s">
        <v>44</v>
      </c>
      <c r="F6" s="7" t="s">
        <v>34</v>
      </c>
      <c r="G6" s="7">
        <v>534</v>
      </c>
      <c r="H6" s="7">
        <v>1.37</v>
      </c>
      <c r="I6" s="5">
        <f>H6*G6</f>
        <v>731.58</v>
      </c>
      <c r="J6" s="17">
        <v>46296</v>
      </c>
      <c r="K6" s="82">
        <v>45930</v>
      </c>
      <c r="L6" s="17" t="s">
        <v>292</v>
      </c>
      <c r="M6" s="15"/>
      <c r="N6" s="14"/>
      <c r="O6" s="17"/>
      <c r="P6" s="7"/>
      <c r="Q6" s="7"/>
      <c r="R6" s="7"/>
      <c r="S6" s="7"/>
      <c r="T6" s="14"/>
      <c r="U6" s="14"/>
      <c r="V6" s="14"/>
      <c r="W6" s="14">
        <v>250</v>
      </c>
      <c r="X6" s="7">
        <v>284</v>
      </c>
      <c r="Y6" s="7"/>
      <c r="Z6" s="7"/>
      <c r="AA6" s="14"/>
      <c r="AC6" s="14" t="s">
        <v>293</v>
      </c>
    </row>
    <row r="7" spans="1:29" s="3" customFormat="1" ht="17.25" customHeight="1">
      <c r="A7" s="9">
        <v>5</v>
      </c>
      <c r="B7" s="16" t="s">
        <v>295</v>
      </c>
      <c r="C7" s="16" t="s">
        <v>296</v>
      </c>
      <c r="D7" s="16" t="s">
        <v>194</v>
      </c>
      <c r="E7" s="7" t="s">
        <v>44</v>
      </c>
      <c r="F7" s="7" t="s">
        <v>52</v>
      </c>
      <c r="G7" s="7">
        <v>500</v>
      </c>
      <c r="H7" s="7">
        <v>1.39</v>
      </c>
      <c r="I7" s="5">
        <f>H7*G7</f>
        <v>695</v>
      </c>
      <c r="J7" s="17" t="s">
        <v>297</v>
      </c>
      <c r="K7" s="82">
        <f>K5</f>
        <v>46081</v>
      </c>
      <c r="L7" s="17">
        <v>45608</v>
      </c>
      <c r="M7" s="15"/>
      <c r="N7" s="14"/>
      <c r="O7" s="17"/>
      <c r="P7" s="7"/>
      <c r="Q7" s="7"/>
      <c r="R7" s="7"/>
      <c r="S7" s="7"/>
      <c r="T7" s="14"/>
      <c r="U7" s="14"/>
      <c r="V7" s="14"/>
      <c r="W7" s="7"/>
      <c r="X7" s="7">
        <v>200</v>
      </c>
      <c r="Y7" s="7">
        <v>300</v>
      </c>
      <c r="Z7" s="7"/>
      <c r="AA7" s="14"/>
      <c r="AC7" s="7"/>
    </row>
    <row r="8" spans="1:29" s="47" customFormat="1" ht="23.25" customHeight="1">
      <c r="A8" s="642" t="s">
        <v>64</v>
      </c>
      <c r="B8" s="643"/>
      <c r="C8" s="643"/>
      <c r="D8" s="643"/>
      <c r="E8" s="643"/>
      <c r="F8" s="644"/>
      <c r="G8" s="50">
        <f>SUM(G3:G7)</f>
        <v>1984</v>
      </c>
      <c r="H8" s="51"/>
      <c r="I8" s="50">
        <f>SUM(I3:I7)</f>
        <v>2737.08</v>
      </c>
      <c r="J8" s="52"/>
      <c r="K8" s="52"/>
      <c r="L8" s="52"/>
      <c r="M8" s="52"/>
      <c r="N8" s="50">
        <f t="shared" ref="N8:AA8" si="0">SUM(N3:N7)</f>
        <v>0</v>
      </c>
      <c r="O8" s="50">
        <f>SUM(O3:O7)</f>
        <v>0</v>
      </c>
      <c r="P8" s="50">
        <f t="shared" si="0"/>
        <v>0</v>
      </c>
      <c r="Q8" s="50">
        <f t="shared" si="0"/>
        <v>0</v>
      </c>
      <c r="R8" s="50">
        <f t="shared" si="0"/>
        <v>350</v>
      </c>
      <c r="S8" s="50">
        <f t="shared" si="0"/>
        <v>0</v>
      </c>
      <c r="T8" s="50">
        <f t="shared" si="0"/>
        <v>0</v>
      </c>
      <c r="U8" s="50">
        <f t="shared" si="0"/>
        <v>0</v>
      </c>
      <c r="V8" s="50">
        <f t="shared" si="0"/>
        <v>0</v>
      </c>
      <c r="W8" s="50">
        <f t="shared" si="0"/>
        <v>250</v>
      </c>
      <c r="X8" s="50">
        <f t="shared" si="0"/>
        <v>484</v>
      </c>
      <c r="Y8" s="50">
        <f t="shared" si="0"/>
        <v>300</v>
      </c>
      <c r="Z8" s="50">
        <f t="shared" si="0"/>
        <v>0</v>
      </c>
      <c r="AA8" s="50">
        <f t="shared" si="0"/>
        <v>0</v>
      </c>
      <c r="AC8" s="51" t="e">
        <f>SUM(#REF!)</f>
        <v>#REF!</v>
      </c>
    </row>
    <row r="9" spans="1:29" ht="17.25" customHeight="1">
      <c r="A9" s="56"/>
      <c r="B9" s="645"/>
      <c r="C9" s="645"/>
      <c r="D9" s="645"/>
      <c r="E9" s="645"/>
      <c r="F9" s="645"/>
      <c r="G9" s="645"/>
      <c r="H9" s="645"/>
      <c r="I9" s="645"/>
    </row>
    <row r="10" spans="1:29" ht="13.5" customHeight="1"/>
    <row r="11" spans="1:29" ht="13.5" customHeight="1"/>
    <row r="12" spans="1:29" ht="13.5" customHeight="1"/>
    <row r="13" spans="1:29" ht="13.5" customHeight="1"/>
    <row r="14" spans="1:29" ht="17.25" customHeight="1"/>
    <row r="15" spans="1:29" ht="47.25" customHeight="1"/>
    <row r="16" spans="1:29" ht="23.25" customHeight="1"/>
    <row r="17" ht="23.25" customHeight="1"/>
    <row r="18" ht="23.25" customHeight="1"/>
    <row r="19" ht="23.25" customHeight="1"/>
    <row r="20" ht="23.25" customHeight="1"/>
    <row r="21" ht="23.25" customHeight="1"/>
    <row r="22" ht="17.25" customHeight="1"/>
    <row r="24" ht="13.5" hidden="1" customHeight="1"/>
    <row r="25" ht="13.5" hidden="1" customHeight="1"/>
    <row r="26" ht="13.5" hidden="1" customHeight="1"/>
    <row r="27" ht="13.5" hidden="1" customHeight="1"/>
    <row r="28" ht="13.5" hidden="1" customHeight="1"/>
    <row r="29" ht="13.5" hidden="1" customHeight="1"/>
    <row r="30" ht="13.5" hidden="1" customHeight="1"/>
    <row r="31" ht="13.5" hidden="1" customHeight="1"/>
    <row r="32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</sheetData>
  <mergeCells count="3">
    <mergeCell ref="U1:Y1"/>
    <mergeCell ref="A8:F8"/>
    <mergeCell ref="B9:I9"/>
  </mergeCells>
  <phoneticPr fontId="4" type="noConversion"/>
  <pageMargins left="0.31496062992125984" right="0.31496062992125984" top="0.74803149606299213" bottom="0.74803149606299213" header="0.31496062992125984" footer="0.31496062992125984"/>
  <pageSetup paperSize="8" scale="72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FB2A-ACC3-4433-A701-5B3EA3A80DD3}">
  <sheetPr>
    <pageSetUpPr fitToPage="1"/>
  </sheetPr>
  <dimension ref="A1:AC37"/>
  <sheetViews>
    <sheetView showZeros="0" zoomScale="85" zoomScaleNormal="85" zoomScaleSheetLayoutView="100" workbookViewId="0">
      <selection activeCell="AF23" sqref="AE23:AP37"/>
    </sheetView>
  </sheetViews>
  <sheetFormatPr defaultRowHeight="13.5"/>
  <cols>
    <col min="1" max="1" width="8.5703125" customWidth="1"/>
    <col min="2" max="2" width="16.5703125" customWidth="1"/>
    <col min="3" max="3" width="12.140625" customWidth="1"/>
    <col min="4" max="4" width="13.85546875" customWidth="1"/>
    <col min="5" max="5" width="10.28515625" style="2" customWidth="1"/>
    <col min="6" max="6" width="7.5703125" style="2" customWidth="1"/>
    <col min="7" max="7" width="9.42578125" customWidth="1"/>
    <col min="8" max="8" width="7.42578125" customWidth="1"/>
    <col min="9" max="9" width="10.28515625" customWidth="1"/>
    <col min="10" max="10" width="18.42578125" style="2" hidden="1" customWidth="1"/>
    <col min="11" max="13" width="14.42578125" style="2" hidden="1" customWidth="1"/>
    <col min="14" max="14" width="8.85546875" style="2" hidden="1" customWidth="1"/>
    <col min="15" max="15" width="7.5703125" style="2" hidden="1" customWidth="1"/>
    <col min="16" max="27" width="7.5703125" customWidth="1"/>
    <col min="28" max="28" width="0" hidden="1" customWidth="1"/>
    <col min="29" max="29" width="10.5703125" hidden="1" customWidth="1"/>
    <col min="30" max="37" width="0" hidden="1" customWidth="1"/>
    <col min="38" max="38" width="0.85546875" bestFit="1" customWidth="1"/>
  </cols>
  <sheetData>
    <row r="1" spans="1:29" s="47" customFormat="1" ht="18.75">
      <c r="A1" s="48" t="s">
        <v>282</v>
      </c>
      <c r="B1"/>
      <c r="C1"/>
      <c r="D1"/>
      <c r="E1" s="2"/>
      <c r="F1" s="2"/>
      <c r="G1"/>
      <c r="H1"/>
      <c r="I1"/>
      <c r="J1" s="73"/>
      <c r="K1" s="73"/>
      <c r="L1" s="73"/>
      <c r="M1" s="73"/>
      <c r="N1" s="73"/>
      <c r="O1" s="73"/>
      <c r="U1" s="641" t="s">
        <v>1</v>
      </c>
      <c r="V1" s="641"/>
      <c r="W1" s="641"/>
      <c r="X1" s="641"/>
      <c r="Y1" s="641"/>
      <c r="Z1" s="46" t="s">
        <v>283</v>
      </c>
      <c r="AA1" s="49"/>
    </row>
    <row r="2" spans="1:29" ht="54.75" customHeight="1">
      <c r="A2" s="74" t="s">
        <v>2</v>
      </c>
      <c r="B2" s="75" t="s">
        <v>3</v>
      </c>
      <c r="C2" s="75" t="s">
        <v>4</v>
      </c>
      <c r="D2" s="75" t="s">
        <v>284</v>
      </c>
      <c r="E2" s="75" t="s">
        <v>7</v>
      </c>
      <c r="F2" s="75" t="s">
        <v>8</v>
      </c>
      <c r="G2" s="75" t="s">
        <v>11</v>
      </c>
      <c r="H2" s="75" t="s">
        <v>12</v>
      </c>
      <c r="I2" s="75" t="s">
        <v>13</v>
      </c>
      <c r="J2" s="75" t="s">
        <v>16</v>
      </c>
      <c r="K2" s="26" t="s">
        <v>285</v>
      </c>
      <c r="L2" s="76" t="s">
        <v>20</v>
      </c>
      <c r="M2" s="78"/>
      <c r="N2" s="40" t="s">
        <v>286</v>
      </c>
      <c r="O2" s="40">
        <v>45717</v>
      </c>
      <c r="P2" s="40">
        <v>45748</v>
      </c>
      <c r="Q2" s="40">
        <v>45778</v>
      </c>
      <c r="R2" s="40">
        <v>45809</v>
      </c>
      <c r="S2" s="40">
        <v>45839</v>
      </c>
      <c r="T2" s="40">
        <v>45870</v>
      </c>
      <c r="U2" s="40">
        <v>45901</v>
      </c>
      <c r="V2" s="41">
        <v>45931</v>
      </c>
      <c r="W2" s="40">
        <v>45962</v>
      </c>
      <c r="X2" s="40">
        <v>45992</v>
      </c>
      <c r="Y2" s="40">
        <v>46023</v>
      </c>
      <c r="Z2" s="40">
        <v>46054</v>
      </c>
      <c r="AA2" s="40">
        <v>46082</v>
      </c>
      <c r="AC2" s="77" t="s">
        <v>28</v>
      </c>
    </row>
    <row r="3" spans="1:29" s="3" customFormat="1" ht="25.5" customHeight="1">
      <c r="A3" s="9">
        <v>1</v>
      </c>
      <c r="B3" s="16" t="s">
        <v>287</v>
      </c>
      <c r="C3" s="16" t="s">
        <v>106</v>
      </c>
      <c r="D3" s="16" t="s">
        <v>288</v>
      </c>
      <c r="E3" s="7" t="s">
        <v>62</v>
      </c>
      <c r="F3" s="7" t="s">
        <v>52</v>
      </c>
      <c r="G3" s="7">
        <v>300</v>
      </c>
      <c r="H3" s="7">
        <v>1.42</v>
      </c>
      <c r="I3" s="5">
        <f>H3*G3</f>
        <v>426</v>
      </c>
      <c r="J3" s="57" t="s">
        <v>289</v>
      </c>
      <c r="K3" s="82">
        <v>45838</v>
      </c>
      <c r="L3" s="57"/>
      <c r="M3" s="57"/>
      <c r="N3" s="14"/>
      <c r="O3" s="17"/>
      <c r="P3" s="7"/>
      <c r="Q3" s="7"/>
      <c r="R3" s="7"/>
      <c r="S3" s="7">
        <v>150</v>
      </c>
      <c r="T3" s="14">
        <v>150</v>
      </c>
      <c r="U3" s="14"/>
      <c r="V3" s="14"/>
      <c r="W3" s="7"/>
      <c r="X3" s="7"/>
      <c r="Y3" s="7"/>
      <c r="Z3" s="7"/>
      <c r="AA3" s="14"/>
      <c r="AC3" s="56"/>
    </row>
    <row r="4" spans="1:29" s="3" customFormat="1" ht="28.5" customHeight="1">
      <c r="A4" s="9">
        <v>2</v>
      </c>
      <c r="B4" s="16" t="s">
        <v>290</v>
      </c>
      <c r="C4" s="16" t="s">
        <v>80</v>
      </c>
      <c r="D4" s="16" t="s">
        <v>193</v>
      </c>
      <c r="E4" s="7" t="s">
        <v>33</v>
      </c>
      <c r="F4" s="7" t="s">
        <v>34</v>
      </c>
      <c r="G4" s="7">
        <v>50</v>
      </c>
      <c r="H4" s="7">
        <v>1.37</v>
      </c>
      <c r="I4" s="5">
        <f>H4*G4</f>
        <v>68.5</v>
      </c>
      <c r="J4" s="57" t="s">
        <v>289</v>
      </c>
      <c r="K4" s="82">
        <v>45838</v>
      </c>
      <c r="L4" s="57"/>
      <c r="M4" s="57"/>
      <c r="N4" s="14"/>
      <c r="O4" s="17"/>
      <c r="P4" s="7"/>
      <c r="Q4" s="7"/>
      <c r="R4" s="7">
        <v>50</v>
      </c>
      <c r="S4" s="7"/>
      <c r="T4" s="14"/>
      <c r="U4" s="14"/>
      <c r="V4" s="17"/>
      <c r="W4" s="7"/>
      <c r="X4" s="7"/>
      <c r="Y4" s="7"/>
      <c r="Z4" s="7"/>
      <c r="AA4" s="14"/>
      <c r="AC4" s="56"/>
    </row>
    <row r="5" spans="1:29" s="3" customFormat="1" ht="18.75" customHeight="1">
      <c r="A5" s="9">
        <v>3</v>
      </c>
      <c r="B5" s="16" t="s">
        <v>197</v>
      </c>
      <c r="C5" s="16" t="s">
        <v>198</v>
      </c>
      <c r="D5" s="16" t="s">
        <v>199</v>
      </c>
      <c r="E5" s="7" t="s">
        <v>44</v>
      </c>
      <c r="F5" s="7" t="s">
        <v>52</v>
      </c>
      <c r="G5" s="7">
        <v>600</v>
      </c>
      <c r="H5" s="7">
        <v>1.36</v>
      </c>
      <c r="I5" s="5">
        <f>H5*G5</f>
        <v>816.00000000000011</v>
      </c>
      <c r="J5" s="53" t="s">
        <v>291</v>
      </c>
      <c r="K5" s="83">
        <v>46081</v>
      </c>
      <c r="L5" s="15" t="s">
        <v>292</v>
      </c>
      <c r="M5" s="15"/>
      <c r="N5" s="14"/>
      <c r="O5" s="17"/>
      <c r="P5" s="7"/>
      <c r="Q5" s="7"/>
      <c r="R5" s="7"/>
      <c r="S5" s="7"/>
      <c r="T5" s="14"/>
      <c r="U5" s="14"/>
      <c r="V5" s="17"/>
      <c r="W5" s="7"/>
      <c r="X5" s="7"/>
      <c r="Y5" s="7"/>
      <c r="Z5" s="7"/>
      <c r="AA5" s="14"/>
      <c r="AC5" s="14" t="s">
        <v>293</v>
      </c>
    </row>
    <row r="6" spans="1:29" s="3" customFormat="1" ht="17.25" customHeight="1">
      <c r="A6" s="9">
        <v>4</v>
      </c>
      <c r="B6" s="16" t="s">
        <v>294</v>
      </c>
      <c r="C6" s="16" t="s">
        <v>95</v>
      </c>
      <c r="D6" s="16" t="s">
        <v>194</v>
      </c>
      <c r="E6" s="7" t="s">
        <v>44</v>
      </c>
      <c r="F6" s="7" t="s">
        <v>34</v>
      </c>
      <c r="G6" s="7">
        <v>534</v>
      </c>
      <c r="H6" s="7">
        <v>1.37</v>
      </c>
      <c r="I6" s="5">
        <f>H6*G6</f>
        <v>731.58</v>
      </c>
      <c r="J6" s="17">
        <v>46296</v>
      </c>
      <c r="K6" s="82">
        <v>45930</v>
      </c>
      <c r="L6" s="17" t="s">
        <v>292</v>
      </c>
      <c r="M6" s="15"/>
      <c r="N6" s="14"/>
      <c r="O6" s="17"/>
      <c r="P6" s="7"/>
      <c r="Q6" s="7"/>
      <c r="R6" s="7"/>
      <c r="S6" s="7"/>
      <c r="T6" s="14"/>
      <c r="U6" s="14"/>
      <c r="V6" s="17"/>
      <c r="W6" s="14"/>
      <c r="X6" s="7">
        <v>534</v>
      </c>
      <c r="Y6" s="7"/>
      <c r="Z6" s="7"/>
      <c r="AA6" s="14"/>
      <c r="AC6" s="14" t="s">
        <v>293</v>
      </c>
    </row>
    <row r="7" spans="1:29" s="3" customFormat="1" ht="17.25" customHeight="1">
      <c r="A7" s="9">
        <v>5</v>
      </c>
      <c r="B7" s="16" t="s">
        <v>295</v>
      </c>
      <c r="C7" s="16" t="s">
        <v>296</v>
      </c>
      <c r="D7" s="16" t="s">
        <v>194</v>
      </c>
      <c r="E7" s="7" t="s">
        <v>44</v>
      </c>
      <c r="F7" s="7" t="s">
        <v>52</v>
      </c>
      <c r="G7" s="7">
        <v>500</v>
      </c>
      <c r="H7" s="7">
        <v>1.39</v>
      </c>
      <c r="I7" s="5">
        <f>H7*G7</f>
        <v>695</v>
      </c>
      <c r="J7" s="17" t="s">
        <v>297</v>
      </c>
      <c r="K7" s="82">
        <f>K5</f>
        <v>46081</v>
      </c>
      <c r="L7" s="17">
        <v>45608</v>
      </c>
      <c r="M7" s="15"/>
      <c r="N7" s="14"/>
      <c r="O7" s="17"/>
      <c r="P7" s="7"/>
      <c r="Q7" s="7"/>
      <c r="R7" s="7"/>
      <c r="S7" s="7"/>
      <c r="T7" s="14"/>
      <c r="U7" s="14"/>
      <c r="V7" s="14"/>
      <c r="W7" s="7"/>
      <c r="X7" s="7"/>
      <c r="Y7" s="7">
        <v>250</v>
      </c>
      <c r="Z7" s="7">
        <v>250</v>
      </c>
      <c r="AA7" s="14"/>
      <c r="AC7" s="7"/>
    </row>
    <row r="8" spans="1:29" s="47" customFormat="1" ht="23.25" customHeight="1">
      <c r="A8" s="642" t="s">
        <v>64</v>
      </c>
      <c r="B8" s="643"/>
      <c r="C8" s="643"/>
      <c r="D8" s="643"/>
      <c r="E8" s="643"/>
      <c r="F8" s="644"/>
      <c r="G8" s="50">
        <f>SUM(G3:G7)</f>
        <v>1984</v>
      </c>
      <c r="H8" s="51"/>
      <c r="I8" s="50">
        <f>SUM(I3:I7)</f>
        <v>2737.08</v>
      </c>
      <c r="J8" s="52"/>
      <c r="K8" s="52"/>
      <c r="L8" s="52"/>
      <c r="M8" s="52"/>
      <c r="N8" s="50">
        <f t="shared" ref="N8:AA8" si="0">SUM(N3:N7)</f>
        <v>0</v>
      </c>
      <c r="O8" s="50">
        <f>SUM(O3:O7)</f>
        <v>0</v>
      </c>
      <c r="P8" s="50">
        <f t="shared" si="0"/>
        <v>0</v>
      </c>
      <c r="Q8" s="50">
        <f t="shared" si="0"/>
        <v>0</v>
      </c>
      <c r="R8" s="50">
        <f t="shared" si="0"/>
        <v>50</v>
      </c>
      <c r="S8" s="50">
        <f t="shared" si="0"/>
        <v>150</v>
      </c>
      <c r="T8" s="50">
        <f t="shared" si="0"/>
        <v>150</v>
      </c>
      <c r="U8" s="50">
        <f t="shared" si="0"/>
        <v>0</v>
      </c>
      <c r="V8" s="50">
        <f t="shared" si="0"/>
        <v>0</v>
      </c>
      <c r="W8" s="50">
        <f t="shared" si="0"/>
        <v>0</v>
      </c>
      <c r="X8" s="50">
        <f t="shared" si="0"/>
        <v>534</v>
      </c>
      <c r="Y8" s="50">
        <f t="shared" si="0"/>
        <v>250</v>
      </c>
      <c r="Z8" s="50">
        <f t="shared" si="0"/>
        <v>250</v>
      </c>
      <c r="AA8" s="50">
        <f t="shared" si="0"/>
        <v>0</v>
      </c>
      <c r="AC8" s="51" t="e">
        <f>SUM(#REF!)</f>
        <v>#REF!</v>
      </c>
    </row>
    <row r="9" spans="1:29" ht="17.25" customHeight="1">
      <c r="A9" s="56"/>
      <c r="B9" s="645"/>
      <c r="C9" s="645"/>
      <c r="D9" s="645"/>
      <c r="E9" s="645"/>
      <c r="F9" s="645"/>
      <c r="G9" s="645"/>
      <c r="H9" s="645"/>
      <c r="I9" s="645"/>
    </row>
    <row r="10" spans="1:29" ht="13.5" customHeight="1"/>
    <row r="11" spans="1:29" ht="13.5" customHeight="1"/>
    <row r="12" spans="1:29" ht="13.5" customHeight="1"/>
    <row r="13" spans="1:29" ht="13.5" customHeight="1"/>
    <row r="14" spans="1:29" ht="17.25" customHeight="1"/>
    <row r="15" spans="1:29" ht="47.25" customHeight="1"/>
    <row r="16" spans="1:29" ht="23.25" customHeight="1"/>
    <row r="17" ht="23.25" customHeight="1"/>
    <row r="18" ht="23.25" customHeight="1"/>
    <row r="19" ht="23.25" customHeight="1"/>
    <row r="20" ht="23.25" customHeight="1"/>
    <row r="21" ht="23.25" customHeight="1"/>
    <row r="22" ht="17.25" customHeight="1"/>
    <row r="24" ht="13.5" hidden="1" customHeight="1"/>
    <row r="25" ht="13.5" hidden="1" customHeight="1"/>
    <row r="26" ht="13.5" hidden="1" customHeight="1"/>
    <row r="27" ht="13.5" hidden="1" customHeight="1"/>
    <row r="28" ht="13.5" hidden="1" customHeight="1"/>
    <row r="29" ht="13.5" hidden="1" customHeight="1"/>
    <row r="30" ht="13.5" hidden="1" customHeight="1"/>
    <row r="31" ht="13.5" hidden="1" customHeight="1"/>
    <row r="32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</sheetData>
  <mergeCells count="3">
    <mergeCell ref="U1:Y1"/>
    <mergeCell ref="A8:F8"/>
    <mergeCell ref="B9:I9"/>
  </mergeCells>
  <pageMargins left="0.31496062992125984" right="0.31496062992125984" top="0.74803149606299213" bottom="0.74803149606299213" header="0.31496062992125984" footer="0.31496062992125984"/>
  <pageSetup paperSize="8" scale="72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FD27-A030-439B-AA82-51975DE97E34}">
  <sheetPr>
    <pageSetUpPr fitToPage="1"/>
  </sheetPr>
  <dimension ref="A1:AC37"/>
  <sheetViews>
    <sheetView showZeros="0" zoomScale="85" zoomScaleNormal="85" zoomScaleSheetLayoutView="100" workbookViewId="0">
      <selection activeCell="U16" sqref="U16"/>
    </sheetView>
  </sheetViews>
  <sheetFormatPr defaultRowHeight="13.5"/>
  <cols>
    <col min="1" max="1" width="8.5703125" customWidth="1"/>
    <col min="2" max="2" width="16.5703125" customWidth="1"/>
    <col min="3" max="3" width="12.140625" customWidth="1"/>
    <col min="4" max="4" width="13.85546875" customWidth="1"/>
    <col min="5" max="5" width="10.28515625" style="2" customWidth="1"/>
    <col min="6" max="6" width="7.5703125" style="2" customWidth="1"/>
    <col min="7" max="7" width="9.42578125" customWidth="1"/>
    <col min="8" max="8" width="7.42578125" customWidth="1"/>
    <col min="9" max="9" width="10.28515625" customWidth="1"/>
    <col min="10" max="10" width="18.42578125" style="2" hidden="1" customWidth="1"/>
    <col min="11" max="13" width="14.42578125" style="2" hidden="1" customWidth="1"/>
    <col min="14" max="14" width="8.85546875" style="2" customWidth="1"/>
    <col min="15" max="15" width="7.5703125" style="2" customWidth="1"/>
    <col min="16" max="27" width="7.5703125" customWidth="1"/>
  </cols>
  <sheetData>
    <row r="1" spans="1:29" s="47" customFormat="1" ht="18.75">
      <c r="A1" s="48" t="s">
        <v>282</v>
      </c>
      <c r="B1"/>
      <c r="C1"/>
      <c r="D1"/>
      <c r="E1" s="2"/>
      <c r="F1" s="2"/>
      <c r="G1"/>
      <c r="H1"/>
      <c r="I1"/>
      <c r="J1" s="73"/>
      <c r="K1" s="73"/>
      <c r="L1" s="73"/>
      <c r="M1" s="73"/>
      <c r="N1" s="73"/>
      <c r="O1" s="73"/>
      <c r="U1" s="299"/>
      <c r="V1" s="299"/>
      <c r="W1" s="299"/>
      <c r="X1" s="299"/>
      <c r="Y1" s="299"/>
      <c r="Z1" s="46" t="s">
        <v>298</v>
      </c>
      <c r="AA1" s="49"/>
    </row>
    <row r="2" spans="1:29" ht="54.75" customHeight="1">
      <c r="A2" s="74" t="s">
        <v>2</v>
      </c>
      <c r="B2" s="75" t="s">
        <v>3</v>
      </c>
      <c r="C2" s="75" t="s">
        <v>4</v>
      </c>
      <c r="D2" s="75" t="s">
        <v>284</v>
      </c>
      <c r="E2" s="75" t="s">
        <v>7</v>
      </c>
      <c r="F2" s="75" t="s">
        <v>8</v>
      </c>
      <c r="G2" s="75" t="s">
        <v>11</v>
      </c>
      <c r="H2" s="75" t="s">
        <v>12</v>
      </c>
      <c r="I2" s="75" t="s">
        <v>13</v>
      </c>
      <c r="J2" s="75" t="s">
        <v>16</v>
      </c>
      <c r="K2" s="26" t="s">
        <v>285</v>
      </c>
      <c r="L2" s="76" t="s">
        <v>20</v>
      </c>
      <c r="M2" s="78"/>
      <c r="N2" s="40" t="s">
        <v>286</v>
      </c>
      <c r="O2" s="40">
        <v>45717</v>
      </c>
      <c r="P2" s="40">
        <v>45748</v>
      </c>
      <c r="Q2" s="40">
        <v>45778</v>
      </c>
      <c r="R2" s="40">
        <v>45809</v>
      </c>
      <c r="S2" s="40">
        <v>45839</v>
      </c>
      <c r="T2" s="40">
        <v>45870</v>
      </c>
      <c r="U2" s="40">
        <v>45901</v>
      </c>
      <c r="V2" s="41">
        <v>45931</v>
      </c>
      <c r="W2" s="40">
        <v>45962</v>
      </c>
      <c r="X2" s="40">
        <v>45992</v>
      </c>
      <c r="Y2" s="40">
        <v>46023</v>
      </c>
      <c r="Z2" s="40">
        <v>46054</v>
      </c>
      <c r="AA2" s="40">
        <v>46082</v>
      </c>
    </row>
    <row r="3" spans="1:29" s="3" customFormat="1" ht="20.100000000000001" customHeight="1">
      <c r="A3" s="9">
        <v>1</v>
      </c>
      <c r="B3" s="16" t="s">
        <v>287</v>
      </c>
      <c r="C3" s="16" t="s">
        <v>106</v>
      </c>
      <c r="D3" s="16" t="s">
        <v>288</v>
      </c>
      <c r="E3" s="7" t="s">
        <v>62</v>
      </c>
      <c r="F3" s="7" t="s">
        <v>52</v>
      </c>
      <c r="G3" s="7">
        <v>300</v>
      </c>
      <c r="H3" s="7">
        <v>1.42</v>
      </c>
      <c r="I3" s="5">
        <f>H3*G3</f>
        <v>426</v>
      </c>
      <c r="J3" s="57" t="s">
        <v>289</v>
      </c>
      <c r="K3" s="82">
        <v>45838</v>
      </c>
      <c r="L3" s="57"/>
      <c r="M3" s="57"/>
      <c r="N3" s="14"/>
      <c r="O3" s="17"/>
      <c r="P3" s="93"/>
      <c r="Q3" s="93"/>
      <c r="R3" s="93"/>
      <c r="S3" s="93"/>
      <c r="T3" s="91">
        <v>150</v>
      </c>
      <c r="U3" s="14"/>
      <c r="V3" s="14"/>
      <c r="W3" s="14"/>
      <c r="X3" s="7">
        <v>150</v>
      </c>
      <c r="Y3" s="7"/>
      <c r="Z3" s="7"/>
      <c r="AA3" s="14"/>
    </row>
    <row r="4" spans="1:29" s="3" customFormat="1" ht="20.100000000000001" customHeight="1">
      <c r="A4" s="9">
        <v>2</v>
      </c>
      <c r="B4" s="16" t="s">
        <v>290</v>
      </c>
      <c r="C4" s="16" t="s">
        <v>80</v>
      </c>
      <c r="D4" s="16" t="s">
        <v>193</v>
      </c>
      <c r="E4" s="7" t="s">
        <v>33</v>
      </c>
      <c r="F4" s="7" t="s">
        <v>34</v>
      </c>
      <c r="G4" s="7">
        <v>50</v>
      </c>
      <c r="H4" s="7">
        <v>1.37</v>
      </c>
      <c r="I4" s="5">
        <f>H4*G4</f>
        <v>68.5</v>
      </c>
      <c r="J4" s="57" t="s">
        <v>289</v>
      </c>
      <c r="K4" s="82">
        <v>45838</v>
      </c>
      <c r="L4" s="57"/>
      <c r="M4" s="57"/>
      <c r="N4" s="14"/>
      <c r="O4" s="17"/>
      <c r="P4" s="93"/>
      <c r="Q4" s="93"/>
      <c r="R4" s="93">
        <v>50</v>
      </c>
      <c r="S4" s="93"/>
      <c r="T4" s="91"/>
      <c r="U4" s="14"/>
      <c r="V4" s="17"/>
      <c r="W4" s="7"/>
      <c r="X4" s="7"/>
      <c r="Y4" s="7"/>
      <c r="Z4" s="7"/>
      <c r="AA4" s="14"/>
    </row>
    <row r="5" spans="1:29" s="3" customFormat="1" ht="20.100000000000001" customHeight="1">
      <c r="A5" s="9">
        <v>3</v>
      </c>
      <c r="B5" s="16" t="s">
        <v>197</v>
      </c>
      <c r="C5" s="16" t="s">
        <v>198</v>
      </c>
      <c r="D5" s="16" t="s">
        <v>199</v>
      </c>
      <c r="E5" s="7" t="s">
        <v>44</v>
      </c>
      <c r="F5" s="7" t="s">
        <v>52</v>
      </c>
      <c r="G5" s="7">
        <v>600</v>
      </c>
      <c r="H5" s="7">
        <v>1.36</v>
      </c>
      <c r="I5" s="5">
        <f>H5*G5</f>
        <v>816.00000000000011</v>
      </c>
      <c r="J5" s="53" t="s">
        <v>291</v>
      </c>
      <c r="K5" s="83">
        <v>46081</v>
      </c>
      <c r="L5" s="15" t="s">
        <v>292</v>
      </c>
      <c r="M5" s="15"/>
      <c r="N5" s="14"/>
      <c r="O5" s="17"/>
      <c r="P5" s="93"/>
      <c r="Q5" s="93"/>
      <c r="R5" s="93"/>
      <c r="S5" s="93"/>
      <c r="T5" s="91"/>
      <c r="U5" s="14"/>
      <c r="V5" s="17"/>
      <c r="W5" s="7"/>
      <c r="X5" s="7"/>
      <c r="Y5" s="7"/>
      <c r="Z5" s="7"/>
      <c r="AA5" s="14">
        <v>300</v>
      </c>
    </row>
    <row r="6" spans="1:29" s="3" customFormat="1" ht="20.100000000000001" customHeight="1">
      <c r="A6" s="9">
        <v>4</v>
      </c>
      <c r="B6" s="16" t="s">
        <v>294</v>
      </c>
      <c r="C6" s="16" t="s">
        <v>95</v>
      </c>
      <c r="D6" s="16" t="s">
        <v>194</v>
      </c>
      <c r="E6" s="7" t="s">
        <v>44</v>
      </c>
      <c r="F6" s="7" t="s">
        <v>34</v>
      </c>
      <c r="G6" s="7">
        <v>534</v>
      </c>
      <c r="H6" s="7">
        <v>1.37</v>
      </c>
      <c r="I6" s="5">
        <f>H6*G6</f>
        <v>731.58</v>
      </c>
      <c r="J6" s="17">
        <v>46296</v>
      </c>
      <c r="K6" s="82">
        <v>45930</v>
      </c>
      <c r="L6" s="17" t="s">
        <v>292</v>
      </c>
      <c r="M6" s="15"/>
      <c r="N6" s="14"/>
      <c r="O6" s="17"/>
      <c r="P6" s="93"/>
      <c r="Q6" s="93"/>
      <c r="R6" s="93"/>
      <c r="S6" s="93"/>
      <c r="T6" s="91"/>
      <c r="U6" s="14"/>
      <c r="V6" s="17"/>
      <c r="W6" s="14"/>
      <c r="X6" s="7"/>
      <c r="Y6" s="7"/>
      <c r="Z6" s="7"/>
      <c r="AA6" s="222"/>
    </row>
    <row r="7" spans="1:29" s="3" customFormat="1" ht="20.100000000000001" customHeight="1">
      <c r="A7" s="9">
        <v>5</v>
      </c>
      <c r="B7" s="16" t="s">
        <v>295</v>
      </c>
      <c r="C7" s="16" t="s">
        <v>186</v>
      </c>
      <c r="D7" s="16" t="s">
        <v>194</v>
      </c>
      <c r="E7" s="7" t="s">
        <v>44</v>
      </c>
      <c r="F7" s="7" t="s">
        <v>52</v>
      </c>
      <c r="G7" s="7">
        <v>500</v>
      </c>
      <c r="H7" s="7">
        <v>1.39</v>
      </c>
      <c r="I7" s="5">
        <f>H7*G7</f>
        <v>695</v>
      </c>
      <c r="J7" s="17" t="s">
        <v>297</v>
      </c>
      <c r="K7" s="82">
        <f>K5</f>
        <v>46081</v>
      </c>
      <c r="L7" s="17">
        <v>45608</v>
      </c>
      <c r="M7" s="15"/>
      <c r="N7" s="14"/>
      <c r="O7" s="17"/>
      <c r="P7" s="93"/>
      <c r="Q7" s="93"/>
      <c r="R7" s="93"/>
      <c r="S7" s="93"/>
      <c r="T7" s="91"/>
      <c r="U7" s="14"/>
      <c r="V7" s="14"/>
      <c r="W7" s="7"/>
      <c r="X7" s="7"/>
      <c r="Y7" s="7"/>
      <c r="Z7" s="7"/>
      <c r="AA7" s="222">
        <v>250</v>
      </c>
      <c r="AB7" s="3">
        <v>1034</v>
      </c>
      <c r="AC7" s="3">
        <f>AB7-AA7-AA5</f>
        <v>484</v>
      </c>
    </row>
    <row r="8" spans="1:29" s="47" customFormat="1" ht="23.25" customHeight="1">
      <c r="A8" s="642" t="s">
        <v>64</v>
      </c>
      <c r="B8" s="643"/>
      <c r="C8" s="643"/>
      <c r="D8" s="643"/>
      <c r="E8" s="643"/>
      <c r="F8" s="644"/>
      <c r="G8" s="50">
        <f>SUM(G3:G7)</f>
        <v>1984</v>
      </c>
      <c r="H8" s="51"/>
      <c r="I8" s="50">
        <f>SUM(I3:I7)</f>
        <v>2737.08</v>
      </c>
      <c r="J8" s="52"/>
      <c r="K8" s="52"/>
      <c r="L8" s="52"/>
      <c r="M8" s="52"/>
      <c r="N8" s="50">
        <f t="shared" ref="N8:AA8" si="0">SUM(N3:N7)</f>
        <v>0</v>
      </c>
      <c r="O8" s="50">
        <f>SUM(O3:O7)</f>
        <v>0</v>
      </c>
      <c r="P8" s="92">
        <f t="shared" si="0"/>
        <v>0</v>
      </c>
      <c r="Q8" s="92">
        <f t="shared" si="0"/>
        <v>0</v>
      </c>
      <c r="R8" s="92">
        <f t="shared" si="0"/>
        <v>50</v>
      </c>
      <c r="S8" s="92">
        <f t="shared" si="0"/>
        <v>0</v>
      </c>
      <c r="T8" s="92">
        <f t="shared" si="0"/>
        <v>150</v>
      </c>
      <c r="U8" s="50">
        <f t="shared" si="0"/>
        <v>0</v>
      </c>
      <c r="V8" s="50">
        <f t="shared" si="0"/>
        <v>0</v>
      </c>
      <c r="W8" s="50">
        <f t="shared" si="0"/>
        <v>0</v>
      </c>
      <c r="X8" s="50">
        <f t="shared" si="0"/>
        <v>150</v>
      </c>
      <c r="Y8" s="50">
        <f t="shared" si="0"/>
        <v>0</v>
      </c>
      <c r="Z8" s="50">
        <f t="shared" si="0"/>
        <v>0</v>
      </c>
      <c r="AA8" s="50">
        <f t="shared" si="0"/>
        <v>550</v>
      </c>
    </row>
    <row r="9" spans="1:29" ht="17.25" customHeight="1">
      <c r="A9" s="56"/>
      <c r="B9" s="645"/>
      <c r="C9" s="645"/>
      <c r="D9" s="645"/>
      <c r="E9" s="645"/>
      <c r="F9" s="645"/>
      <c r="G9" s="645"/>
      <c r="H9" s="645"/>
      <c r="I9" s="645"/>
    </row>
    <row r="10" spans="1:29" ht="13.5" customHeight="1"/>
    <row r="11" spans="1:29" ht="13.5" customHeight="1"/>
    <row r="12" spans="1:29" ht="13.5" customHeight="1"/>
    <row r="13" spans="1:29" ht="13.5" customHeight="1"/>
    <row r="14" spans="1:29" ht="17.25" customHeight="1"/>
    <row r="15" spans="1:29" ht="47.25" customHeight="1"/>
    <row r="16" spans="1:29" ht="23.25" customHeight="1"/>
    <row r="17" ht="23.25" customHeight="1"/>
    <row r="18" ht="23.25" customHeight="1"/>
    <row r="19" ht="23.25" customHeight="1"/>
    <row r="20" ht="23.25" customHeight="1"/>
    <row r="21" ht="23.25" customHeight="1"/>
    <row r="22" ht="17.25" customHeight="1"/>
    <row r="24" ht="13.5" hidden="1" customHeight="1"/>
    <row r="25" ht="13.5" hidden="1" customHeight="1"/>
    <row r="26" ht="13.5" hidden="1" customHeight="1"/>
    <row r="27" ht="13.5" hidden="1" customHeight="1"/>
    <row r="28" ht="13.5" hidden="1" customHeight="1"/>
    <row r="29" ht="13.5" hidden="1" customHeight="1"/>
    <row r="30" ht="13.5" hidden="1" customHeight="1"/>
    <row r="31" ht="13.5" hidden="1" customHeight="1"/>
    <row r="32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</sheetData>
  <mergeCells count="2">
    <mergeCell ref="A8:F8"/>
    <mergeCell ref="B9:I9"/>
  </mergeCells>
  <pageMargins left="0.31496062992125984" right="0.31496062992125984" top="0.74803149606299213" bottom="0.74803149606299213" header="0.31496062992125984" footer="0.31496062992125984"/>
  <pageSetup paperSize="8" scale="7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9331-150D-4070-BC4F-C957EF7F120A}">
  <sheetPr>
    <pageSetUpPr fitToPage="1"/>
  </sheetPr>
  <dimension ref="A2:S26"/>
  <sheetViews>
    <sheetView showZeros="0" zoomScaleNormal="100" zoomScaleSheetLayoutView="85" workbookViewId="0">
      <pane xSplit="7" ySplit="3" topLeftCell="H4" activePane="bottomRight" state="frozen"/>
      <selection pane="bottomRight" activeCell="AF23" sqref="AE23:AP37"/>
      <selection pane="bottomLeft" activeCell="AF23" sqref="AE23:AP37"/>
      <selection pane="topRight" activeCell="AF23" sqref="AE23:AP37"/>
    </sheetView>
  </sheetViews>
  <sheetFormatPr defaultColWidth="9.28515625" defaultRowHeight="12.75" customHeight="1"/>
  <cols>
    <col min="1" max="1" width="5.28515625" customWidth="1"/>
    <col min="2" max="2" width="23.28515625" customWidth="1"/>
    <col min="3" max="3" width="16.85546875" style="56" bestFit="1" customWidth="1"/>
    <col min="4" max="4" width="11.42578125" style="2" customWidth="1"/>
    <col min="5" max="5" width="8.5703125" customWidth="1"/>
    <col min="6" max="6" width="5.85546875" customWidth="1"/>
    <col min="7" max="7" width="8.5703125" customWidth="1"/>
    <col min="8" max="18" width="7.42578125" customWidth="1"/>
    <col min="19" max="19" width="7.5703125" customWidth="1"/>
  </cols>
  <sheetData>
    <row r="2" spans="1:19" ht="18.75">
      <c r="A2" s="48" t="s">
        <v>299</v>
      </c>
      <c r="H2" s="89"/>
      <c r="I2" s="89"/>
      <c r="J2" s="577"/>
      <c r="K2" s="577"/>
      <c r="L2" s="577"/>
      <c r="M2" s="577"/>
      <c r="N2" s="577"/>
      <c r="O2" s="577"/>
      <c r="P2" s="577"/>
      <c r="Q2" s="577"/>
      <c r="R2" s="46" t="s">
        <v>300</v>
      </c>
      <c r="S2" s="49"/>
    </row>
    <row r="3" spans="1:19" ht="40.5" customHeight="1">
      <c r="A3" s="238" t="s">
        <v>228</v>
      </c>
      <c r="B3" s="239" t="s">
        <v>3</v>
      </c>
      <c r="C3" s="239" t="s">
        <v>4</v>
      </c>
      <c r="D3" s="239" t="s">
        <v>7</v>
      </c>
      <c r="E3" s="239" t="s">
        <v>229</v>
      </c>
      <c r="F3" s="239" t="s">
        <v>230</v>
      </c>
      <c r="G3" s="239" t="s">
        <v>14</v>
      </c>
      <c r="H3" s="240">
        <v>45748</v>
      </c>
      <c r="I3" s="240">
        <v>45778</v>
      </c>
      <c r="J3" s="240">
        <v>45809</v>
      </c>
      <c r="K3" s="240">
        <v>45839</v>
      </c>
      <c r="L3" s="240">
        <v>45870</v>
      </c>
      <c r="M3" s="240">
        <v>45901</v>
      </c>
      <c r="N3" s="240">
        <v>45931</v>
      </c>
      <c r="O3" s="240">
        <v>45962</v>
      </c>
      <c r="P3" s="240">
        <v>45992</v>
      </c>
      <c r="Q3" s="240">
        <v>46023</v>
      </c>
      <c r="R3" s="240">
        <v>46054</v>
      </c>
      <c r="S3" s="241">
        <v>46082</v>
      </c>
    </row>
    <row r="4" spans="1:19" s="3" customFormat="1" ht="20.100000000000001" customHeight="1">
      <c r="A4" s="242">
        <v>1</v>
      </c>
      <c r="B4" s="243" t="s">
        <v>231</v>
      </c>
      <c r="C4" s="243" t="s">
        <v>101</v>
      </c>
      <c r="D4" s="243" t="s">
        <v>33</v>
      </c>
      <c r="E4" s="242">
        <f>SUM(H4:S4)</f>
        <v>52</v>
      </c>
      <c r="F4" s="242">
        <f t="shared" ref="F4:F8" si="0">E4/5.2</f>
        <v>10</v>
      </c>
      <c r="G4" s="242" t="s">
        <v>39</v>
      </c>
      <c r="H4" s="245">
        <v>52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</row>
    <row r="5" spans="1:19" s="3" customFormat="1" ht="20.100000000000001" customHeight="1">
      <c r="A5" s="224">
        <v>2</v>
      </c>
      <c r="B5" s="106" t="s">
        <v>232</v>
      </c>
      <c r="C5" s="106" t="s">
        <v>106</v>
      </c>
      <c r="D5" s="106" t="s">
        <v>62</v>
      </c>
      <c r="E5" s="224">
        <f t="shared" ref="E5:E15" si="1">SUM(H5:S5)</f>
        <v>57.2</v>
      </c>
      <c r="F5" s="224">
        <f t="shared" si="0"/>
        <v>11</v>
      </c>
      <c r="G5" s="224" t="s">
        <v>39</v>
      </c>
      <c r="H5" s="226">
        <v>26</v>
      </c>
      <c r="I5" s="226">
        <v>31.200000000000003</v>
      </c>
      <c r="J5" s="226"/>
      <c r="K5" s="226"/>
      <c r="L5" s="226"/>
      <c r="M5" s="226"/>
      <c r="N5" s="226"/>
      <c r="O5" s="226"/>
      <c r="P5" s="226"/>
      <c r="Q5" s="226"/>
      <c r="R5" s="226"/>
      <c r="S5" s="226"/>
    </row>
    <row r="6" spans="1:19" s="3" customFormat="1" ht="20.100000000000001" customHeight="1">
      <c r="A6" s="224">
        <v>3</v>
      </c>
      <c r="B6" s="106" t="s">
        <v>231</v>
      </c>
      <c r="C6" s="106" t="s">
        <v>50</v>
      </c>
      <c r="D6" s="106" t="s">
        <v>33</v>
      </c>
      <c r="E6" s="224">
        <f t="shared" si="1"/>
        <v>62.4</v>
      </c>
      <c r="F6" s="224">
        <f t="shared" si="0"/>
        <v>12</v>
      </c>
      <c r="G6" s="224" t="s">
        <v>39</v>
      </c>
      <c r="H6" s="226">
        <v>52</v>
      </c>
      <c r="I6" s="226">
        <v>10.4</v>
      </c>
      <c r="J6" s="226"/>
      <c r="K6" s="226"/>
      <c r="L6" s="226"/>
      <c r="M6" s="226"/>
      <c r="N6" s="226"/>
      <c r="O6" s="226"/>
      <c r="P6" s="226"/>
      <c r="Q6" s="226"/>
      <c r="R6" s="226"/>
      <c r="S6" s="226"/>
    </row>
    <row r="7" spans="1:19" s="3" customFormat="1" ht="20.100000000000001" customHeight="1">
      <c r="A7" s="224">
        <v>4</v>
      </c>
      <c r="B7" s="106" t="s">
        <v>233</v>
      </c>
      <c r="C7" s="106" t="s">
        <v>95</v>
      </c>
      <c r="D7" s="106" t="s">
        <v>33</v>
      </c>
      <c r="E7" s="224">
        <f t="shared" si="1"/>
        <v>156</v>
      </c>
      <c r="F7" s="224">
        <f t="shared" si="0"/>
        <v>30</v>
      </c>
      <c r="G7" s="224" t="s">
        <v>59</v>
      </c>
      <c r="H7" s="226">
        <v>52</v>
      </c>
      <c r="I7" s="226">
        <v>104</v>
      </c>
      <c r="J7" s="226"/>
      <c r="K7" s="226"/>
      <c r="L7" s="226"/>
      <c r="M7" s="226"/>
      <c r="N7" s="226"/>
      <c r="O7" s="226"/>
      <c r="P7" s="226"/>
      <c r="Q7" s="226"/>
      <c r="R7" s="226"/>
      <c r="S7" s="226"/>
    </row>
    <row r="8" spans="1:19" s="3" customFormat="1" ht="20.100000000000001" customHeight="1">
      <c r="A8" s="224">
        <v>5</v>
      </c>
      <c r="B8" s="106" t="s">
        <v>231</v>
      </c>
      <c r="C8" s="106" t="s">
        <v>50</v>
      </c>
      <c r="D8" s="106" t="s">
        <v>33</v>
      </c>
      <c r="E8" s="224">
        <f t="shared" si="1"/>
        <v>67.600000000000009</v>
      </c>
      <c r="F8" s="224">
        <f t="shared" si="0"/>
        <v>13.000000000000002</v>
      </c>
      <c r="G8" s="224" t="s">
        <v>75</v>
      </c>
      <c r="H8" s="226"/>
      <c r="I8" s="226"/>
      <c r="J8" s="226">
        <v>67.600000000000009</v>
      </c>
      <c r="K8" s="226"/>
      <c r="L8" s="226"/>
      <c r="M8" s="226"/>
      <c r="N8" s="226"/>
      <c r="O8" s="226"/>
      <c r="P8" s="226"/>
      <c r="Q8" s="226"/>
      <c r="R8" s="226"/>
      <c r="S8" s="226"/>
    </row>
    <row r="9" spans="1:19" s="3" customFormat="1" ht="20.100000000000001" customHeight="1">
      <c r="A9" s="224">
        <v>6</v>
      </c>
      <c r="B9" s="106" t="s">
        <v>231</v>
      </c>
      <c r="C9" s="106" t="s">
        <v>208</v>
      </c>
      <c r="D9" s="106" t="s">
        <v>33</v>
      </c>
      <c r="E9" s="224">
        <f t="shared" si="1"/>
        <v>130</v>
      </c>
      <c r="F9" s="224">
        <f>E9/5.2</f>
        <v>25</v>
      </c>
      <c r="G9" s="224" t="s">
        <v>75</v>
      </c>
      <c r="H9" s="226"/>
      <c r="I9" s="226">
        <v>36.4</v>
      </c>
      <c r="J9" s="226">
        <v>93.600000000000009</v>
      </c>
      <c r="K9" s="226"/>
      <c r="L9" s="226"/>
      <c r="M9" s="226"/>
      <c r="N9" s="226"/>
      <c r="O9" s="226"/>
      <c r="P9" s="226"/>
      <c r="Q9" s="226"/>
      <c r="R9" s="226"/>
      <c r="S9" s="226"/>
    </row>
    <row r="10" spans="1:19" s="3" customFormat="1" ht="20.100000000000001" customHeight="1">
      <c r="A10" s="224">
        <v>7</v>
      </c>
      <c r="B10" s="106" t="s">
        <v>234</v>
      </c>
      <c r="C10" s="106" t="s">
        <v>70</v>
      </c>
      <c r="D10" s="106" t="s">
        <v>33</v>
      </c>
      <c r="E10" s="224">
        <f t="shared" si="1"/>
        <v>15.600000000000001</v>
      </c>
      <c r="F10" s="224">
        <f t="shared" ref="F10" si="2">E10/5.2</f>
        <v>3</v>
      </c>
      <c r="G10" s="224" t="s">
        <v>75</v>
      </c>
      <c r="H10" s="226"/>
      <c r="I10" s="226" t="s">
        <v>301</v>
      </c>
      <c r="J10" s="226">
        <v>15.600000000000001</v>
      </c>
      <c r="K10" s="226"/>
      <c r="L10" s="226"/>
      <c r="M10" s="226"/>
      <c r="N10" s="226"/>
      <c r="O10" s="226"/>
      <c r="P10" s="226"/>
      <c r="Q10" s="226"/>
      <c r="R10" s="226"/>
      <c r="S10" s="226"/>
    </row>
    <row r="11" spans="1:19" s="3" customFormat="1" ht="20.100000000000001" customHeight="1">
      <c r="A11" s="224">
        <v>8</v>
      </c>
      <c r="B11" s="106" t="s">
        <v>234</v>
      </c>
      <c r="C11" s="106" t="s">
        <v>70</v>
      </c>
      <c r="D11" s="106" t="s">
        <v>33</v>
      </c>
      <c r="E11" s="224">
        <f t="shared" si="1"/>
        <v>26</v>
      </c>
      <c r="F11" s="224">
        <f t="shared" ref="F11:F15" si="3">E11/5.2</f>
        <v>5</v>
      </c>
      <c r="G11" s="224" t="s">
        <v>75</v>
      </c>
      <c r="H11" s="226">
        <v>0</v>
      </c>
      <c r="I11" s="226"/>
      <c r="J11" s="226">
        <v>26</v>
      </c>
      <c r="K11" s="226"/>
      <c r="L11" s="226"/>
      <c r="M11" s="226"/>
      <c r="N11" s="226"/>
      <c r="O11" s="226"/>
      <c r="P11" s="226"/>
      <c r="Q11" s="226"/>
      <c r="R11" s="226"/>
      <c r="S11" s="226"/>
    </row>
    <row r="12" spans="1:19" s="3" customFormat="1" ht="20.100000000000001" customHeight="1">
      <c r="A12" s="224">
        <v>9</v>
      </c>
      <c r="B12" s="106" t="s">
        <v>233</v>
      </c>
      <c r="C12" s="106" t="s">
        <v>80</v>
      </c>
      <c r="D12" s="106" t="s">
        <v>33</v>
      </c>
      <c r="E12" s="224">
        <f t="shared" si="1"/>
        <v>62.400000000000006</v>
      </c>
      <c r="F12" s="224">
        <f t="shared" si="3"/>
        <v>12</v>
      </c>
      <c r="G12" s="224" t="s">
        <v>75</v>
      </c>
      <c r="H12" s="226"/>
      <c r="I12" s="226"/>
      <c r="J12" s="226">
        <v>41.6</v>
      </c>
      <c r="K12" s="226">
        <v>20.8</v>
      </c>
      <c r="L12" s="226"/>
      <c r="M12" s="226"/>
      <c r="N12" s="226"/>
      <c r="O12" s="226"/>
      <c r="P12" s="226"/>
      <c r="Q12" s="226"/>
      <c r="R12" s="226"/>
      <c r="S12" s="226"/>
    </row>
    <row r="13" spans="1:19" s="3" customFormat="1" ht="20.100000000000001" customHeight="1">
      <c r="A13" s="224">
        <v>10</v>
      </c>
      <c r="B13" s="106" t="s">
        <v>235</v>
      </c>
      <c r="C13" s="106" t="s">
        <v>50</v>
      </c>
      <c r="D13" s="106" t="s">
        <v>44</v>
      </c>
      <c r="E13" s="224">
        <f t="shared" si="1"/>
        <v>202.8</v>
      </c>
      <c r="F13" s="224">
        <f t="shared" si="3"/>
        <v>39</v>
      </c>
      <c r="G13" s="224" t="s">
        <v>53</v>
      </c>
      <c r="H13" s="226"/>
      <c r="I13" s="226"/>
      <c r="J13" s="226"/>
      <c r="K13" s="226">
        <v>72.8</v>
      </c>
      <c r="L13" s="226">
        <v>26</v>
      </c>
      <c r="M13" s="226">
        <v>26</v>
      </c>
      <c r="N13" s="226">
        <v>52</v>
      </c>
      <c r="O13" s="226">
        <v>26</v>
      </c>
      <c r="P13" s="226"/>
      <c r="Q13" s="226"/>
      <c r="R13" s="226"/>
      <c r="S13" s="226"/>
    </row>
    <row r="14" spans="1:19" s="3" customFormat="1" ht="20.100000000000001" customHeight="1">
      <c r="A14" s="224" t="s">
        <v>209</v>
      </c>
      <c r="B14" s="106" t="s">
        <v>231</v>
      </c>
      <c r="C14" s="106" t="s">
        <v>111</v>
      </c>
      <c r="D14" s="106" t="s">
        <v>33</v>
      </c>
      <c r="E14" s="224">
        <f t="shared" si="1"/>
        <v>156</v>
      </c>
      <c r="F14" s="224">
        <f t="shared" si="3"/>
        <v>30</v>
      </c>
      <c r="G14" s="224" t="s">
        <v>136</v>
      </c>
      <c r="H14" s="226"/>
      <c r="I14" s="226"/>
      <c r="J14" s="226"/>
      <c r="K14" s="226"/>
      <c r="L14" s="226"/>
      <c r="M14" s="226"/>
      <c r="N14" s="226"/>
      <c r="O14" s="226">
        <v>104</v>
      </c>
      <c r="P14" s="226">
        <v>52</v>
      </c>
      <c r="Q14" s="226"/>
      <c r="R14" s="226"/>
      <c r="S14" s="226"/>
    </row>
    <row r="15" spans="1:19" s="3" customFormat="1" ht="20.100000000000001" customHeight="1">
      <c r="A15" s="244" t="s">
        <v>187</v>
      </c>
      <c r="B15" s="108" t="s">
        <v>231</v>
      </c>
      <c r="C15" s="108" t="s">
        <v>116</v>
      </c>
      <c r="D15" s="108" t="s">
        <v>33</v>
      </c>
      <c r="E15" s="244">
        <f t="shared" si="1"/>
        <v>140.4</v>
      </c>
      <c r="F15" s="244">
        <f t="shared" si="3"/>
        <v>27</v>
      </c>
      <c r="G15" s="244" t="s">
        <v>157</v>
      </c>
      <c r="H15" s="246"/>
      <c r="I15" s="246"/>
      <c r="J15" s="246"/>
      <c r="K15" s="246"/>
      <c r="L15" s="246"/>
      <c r="M15" s="246"/>
      <c r="N15" s="246"/>
      <c r="O15" s="246"/>
      <c r="P15" s="246">
        <v>78</v>
      </c>
      <c r="Q15" s="246">
        <v>62.400000000000006</v>
      </c>
      <c r="R15" s="246"/>
      <c r="S15" s="246"/>
    </row>
    <row r="16" spans="1:19" s="11" customFormat="1" ht="20.100000000000001" customHeight="1">
      <c r="A16" s="29"/>
      <c r="B16" s="29" t="s">
        <v>64</v>
      </c>
      <c r="C16" s="29"/>
      <c r="D16" s="30"/>
      <c r="E16" s="29">
        <f>SUM(E4:E15)</f>
        <v>1128.4000000000001</v>
      </c>
      <c r="F16" s="29">
        <f>SUM(F4:F15)</f>
        <v>217</v>
      </c>
      <c r="G16" s="29"/>
      <c r="H16" s="29">
        <f>SUM(H4:H15)</f>
        <v>182</v>
      </c>
      <c r="I16" s="29">
        <f t="shared" ref="I16:S16" si="4">SUM(I4:I15)</f>
        <v>182</v>
      </c>
      <c r="J16" s="29">
        <f t="shared" si="4"/>
        <v>244.4</v>
      </c>
      <c r="K16" s="29">
        <f t="shared" si="4"/>
        <v>93.6</v>
      </c>
      <c r="L16" s="29">
        <f t="shared" si="4"/>
        <v>26</v>
      </c>
      <c r="M16" s="29">
        <f t="shared" si="4"/>
        <v>26</v>
      </c>
      <c r="N16" s="29">
        <f t="shared" si="4"/>
        <v>52</v>
      </c>
      <c r="O16" s="29">
        <f t="shared" si="4"/>
        <v>130</v>
      </c>
      <c r="P16" s="29">
        <f t="shared" si="4"/>
        <v>130</v>
      </c>
      <c r="Q16" s="29">
        <f t="shared" si="4"/>
        <v>62.400000000000006</v>
      </c>
      <c r="R16" s="29">
        <f t="shared" si="4"/>
        <v>0</v>
      </c>
      <c r="S16" s="29">
        <f t="shared" si="4"/>
        <v>0</v>
      </c>
    </row>
    <row r="19" spans="1:19" s="3" customFormat="1" ht="23.25" customHeight="1">
      <c r="A19" s="242" t="s">
        <v>212</v>
      </c>
      <c r="B19" s="243" t="s">
        <v>231</v>
      </c>
      <c r="C19" s="243" t="s">
        <v>111</v>
      </c>
      <c r="D19" s="243" t="s">
        <v>33</v>
      </c>
      <c r="E19" s="242">
        <f t="shared" ref="E19:E23" si="5">SUM(H19:S19)</f>
        <v>98.800000000000011</v>
      </c>
      <c r="F19" s="242">
        <f t="shared" ref="F19:F23" si="6">E19/5.2</f>
        <v>19</v>
      </c>
      <c r="G19" s="242"/>
      <c r="H19" s="245">
        <f>SUM(H20:H21)</f>
        <v>0</v>
      </c>
      <c r="I19" s="245">
        <f t="shared" ref="I19:S19" si="7">SUM(I20:I21)</f>
        <v>0</v>
      </c>
      <c r="J19" s="245">
        <f t="shared" si="7"/>
        <v>0</v>
      </c>
      <c r="K19" s="245">
        <f t="shared" si="7"/>
        <v>0</v>
      </c>
      <c r="L19" s="245">
        <f t="shared" si="7"/>
        <v>0</v>
      </c>
      <c r="M19" s="245">
        <f t="shared" si="7"/>
        <v>0</v>
      </c>
      <c r="N19" s="245">
        <f t="shared" si="7"/>
        <v>0</v>
      </c>
      <c r="O19" s="245">
        <f t="shared" si="7"/>
        <v>0</v>
      </c>
      <c r="P19" s="245">
        <f t="shared" si="7"/>
        <v>0</v>
      </c>
      <c r="Q19" s="245">
        <f t="shared" si="7"/>
        <v>98.800000000000011</v>
      </c>
      <c r="R19" s="245">
        <f t="shared" si="7"/>
        <v>0</v>
      </c>
      <c r="S19" s="245">
        <f t="shared" si="7"/>
        <v>0</v>
      </c>
    </row>
    <row r="20" spans="1:19" s="3" customFormat="1" ht="23.25" customHeight="1">
      <c r="A20" s="228"/>
      <c r="B20" s="227"/>
      <c r="C20" s="227"/>
      <c r="D20" s="227"/>
      <c r="E20" s="228"/>
      <c r="F20" s="228"/>
      <c r="G20" s="228" t="s">
        <v>136</v>
      </c>
      <c r="H20" s="257"/>
      <c r="I20" s="257"/>
      <c r="J20" s="257"/>
      <c r="K20" s="257"/>
      <c r="L20" s="257"/>
      <c r="M20" s="257"/>
      <c r="N20" s="257"/>
      <c r="O20" s="257"/>
      <c r="P20" s="257"/>
      <c r="Q20" s="257">
        <f>6*5.2</f>
        <v>31.200000000000003</v>
      </c>
      <c r="R20" s="257"/>
      <c r="S20" s="257"/>
    </row>
    <row r="21" spans="1:19" s="3" customFormat="1" ht="23.25" customHeight="1">
      <c r="A21" s="228"/>
      <c r="B21" s="227"/>
      <c r="C21" s="227"/>
      <c r="D21" s="227"/>
      <c r="E21" s="228"/>
      <c r="F21" s="228"/>
      <c r="G21" s="228" t="s">
        <v>159</v>
      </c>
      <c r="H21" s="257"/>
      <c r="I21" s="257"/>
      <c r="J21" s="257"/>
      <c r="K21" s="257"/>
      <c r="L21" s="257"/>
      <c r="M21" s="257"/>
      <c r="N21" s="257"/>
      <c r="O21" s="257"/>
      <c r="P21" s="257"/>
      <c r="Q21" s="257">
        <f>13*5.2</f>
        <v>67.600000000000009</v>
      </c>
      <c r="R21" s="257"/>
      <c r="S21" s="257"/>
    </row>
    <row r="22" spans="1:19" s="3" customFormat="1" ht="23.25" customHeight="1">
      <c r="A22" s="224" t="s">
        <v>188</v>
      </c>
      <c r="B22" s="106" t="s">
        <v>231</v>
      </c>
      <c r="C22" s="106" t="s">
        <v>116</v>
      </c>
      <c r="D22" s="106" t="s">
        <v>33</v>
      </c>
      <c r="E22" s="224">
        <f t="shared" si="5"/>
        <v>312</v>
      </c>
      <c r="F22" s="224">
        <f t="shared" si="6"/>
        <v>60</v>
      </c>
      <c r="G22" s="224" t="s">
        <v>157</v>
      </c>
      <c r="H22" s="226"/>
      <c r="I22" s="226"/>
      <c r="J22" s="226"/>
      <c r="K22" s="226"/>
      <c r="L22" s="226"/>
      <c r="M22" s="226"/>
      <c r="N22" s="226"/>
      <c r="O22" s="226"/>
      <c r="P22" s="226"/>
      <c r="Q22" s="226">
        <f>8*5.2</f>
        <v>41.6</v>
      </c>
      <c r="R22" s="226">
        <f>30*5.2</f>
        <v>156</v>
      </c>
      <c r="S22" s="226">
        <f>22*5.2</f>
        <v>114.4</v>
      </c>
    </row>
    <row r="23" spans="1:19" s="3" customFormat="1" ht="23.25" customHeight="1">
      <c r="A23" s="224">
        <v>13</v>
      </c>
      <c r="B23" s="106" t="s">
        <v>30</v>
      </c>
      <c r="C23" s="106" t="s">
        <v>186</v>
      </c>
      <c r="D23" s="106" t="s">
        <v>33</v>
      </c>
      <c r="E23" s="224">
        <f t="shared" si="5"/>
        <v>10.4</v>
      </c>
      <c r="F23" s="224">
        <f t="shared" si="6"/>
        <v>2</v>
      </c>
      <c r="G23" s="224" t="s">
        <v>35</v>
      </c>
      <c r="H23" s="226"/>
      <c r="I23" s="226"/>
      <c r="J23" s="226"/>
      <c r="K23" s="226"/>
      <c r="L23" s="226"/>
      <c r="M23" s="226"/>
      <c r="N23" s="226"/>
      <c r="O23" s="226"/>
      <c r="P23" s="226">
        <f>2*5.2</f>
        <v>10.4</v>
      </c>
      <c r="Q23" s="226"/>
      <c r="R23" s="226"/>
      <c r="S23" s="226"/>
    </row>
    <row r="24" spans="1:19" s="3" customFormat="1" ht="23.25" customHeight="1">
      <c r="A24" s="29"/>
      <c r="B24" s="28" t="s">
        <v>239</v>
      </c>
      <c r="C24" s="28"/>
      <c r="D24" s="28"/>
      <c r="E24" s="29">
        <f>SUM(E19:E23)</f>
        <v>421.2</v>
      </c>
      <c r="F24" s="29">
        <f>SUM(F19:F23)</f>
        <v>81</v>
      </c>
      <c r="G24" s="29"/>
      <c r="H24" s="258">
        <f>SUM(H20:H23)</f>
        <v>0</v>
      </c>
      <c r="I24" s="258">
        <f t="shared" ref="I24:S24" si="8">SUM(I20:I23)</f>
        <v>0</v>
      </c>
      <c r="J24" s="258">
        <f t="shared" si="8"/>
        <v>0</v>
      </c>
      <c r="K24" s="258">
        <f t="shared" si="8"/>
        <v>0</v>
      </c>
      <c r="L24" s="258">
        <f t="shared" si="8"/>
        <v>0</v>
      </c>
      <c r="M24" s="258">
        <f t="shared" si="8"/>
        <v>0</v>
      </c>
      <c r="N24" s="258">
        <f t="shared" si="8"/>
        <v>0</v>
      </c>
      <c r="O24" s="258">
        <f t="shared" si="8"/>
        <v>0</v>
      </c>
      <c r="P24" s="258">
        <f t="shared" si="8"/>
        <v>10.4</v>
      </c>
      <c r="Q24" s="258">
        <f t="shared" si="8"/>
        <v>140.4</v>
      </c>
      <c r="R24" s="258">
        <f t="shared" si="8"/>
        <v>156</v>
      </c>
      <c r="S24" s="258">
        <f t="shared" si="8"/>
        <v>114.4</v>
      </c>
    </row>
    <row r="26" spans="1:19" s="3" customFormat="1" ht="23.25" customHeight="1">
      <c r="A26" s="29"/>
      <c r="B26" s="28" t="s">
        <v>64</v>
      </c>
      <c r="C26" s="28"/>
      <c r="D26" s="28"/>
      <c r="E26" s="29">
        <f>+E24+E16</f>
        <v>1549.6000000000001</v>
      </c>
      <c r="F26" s="29">
        <f>+F24+F16</f>
        <v>298</v>
      </c>
      <c r="G26" s="29">
        <f t="shared" ref="G26:S26" si="9">+G24+G16</f>
        <v>0</v>
      </c>
      <c r="H26" s="29">
        <f t="shared" si="9"/>
        <v>182</v>
      </c>
      <c r="I26" s="29">
        <f t="shared" si="9"/>
        <v>182</v>
      </c>
      <c r="J26" s="29">
        <f t="shared" si="9"/>
        <v>244.4</v>
      </c>
      <c r="K26" s="29">
        <f t="shared" si="9"/>
        <v>93.6</v>
      </c>
      <c r="L26" s="29">
        <f t="shared" si="9"/>
        <v>26</v>
      </c>
      <c r="M26" s="29">
        <f t="shared" si="9"/>
        <v>26</v>
      </c>
      <c r="N26" s="29">
        <f t="shared" si="9"/>
        <v>52</v>
      </c>
      <c r="O26" s="29">
        <f t="shared" si="9"/>
        <v>130</v>
      </c>
      <c r="P26" s="29">
        <f t="shared" si="9"/>
        <v>140.4</v>
      </c>
      <c r="Q26" s="29">
        <f t="shared" si="9"/>
        <v>202.8</v>
      </c>
      <c r="R26" s="29">
        <f t="shared" si="9"/>
        <v>156</v>
      </c>
      <c r="S26" s="29">
        <f t="shared" si="9"/>
        <v>114.4</v>
      </c>
    </row>
  </sheetData>
  <mergeCells count="1">
    <mergeCell ref="J2:Q2"/>
  </mergeCells>
  <pageMargins left="0.31496062992125984" right="0.31496062992125984" top="0.74803149606299213" bottom="0.74803149606299213" header="0.31496062992125984" footer="0.31496062992125984"/>
  <pageSetup paperSize="8" scale="8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0883-3EC3-408C-B533-8F89B73736B0}">
  <sheetPr>
    <pageSetUpPr fitToPage="1"/>
  </sheetPr>
  <dimension ref="A2:S26"/>
  <sheetViews>
    <sheetView showZeros="0" zoomScale="85" zoomScaleNormal="85" zoomScaleSheetLayoutView="85" workbookViewId="0">
      <pane xSplit="7" ySplit="3" topLeftCell="H4" activePane="bottomRight" state="frozen"/>
      <selection pane="bottomRight" activeCell="AF23" sqref="AE23:AP37"/>
      <selection pane="bottomLeft" activeCell="AF23" sqref="AE23:AP37"/>
      <selection pane="topRight" activeCell="AF23" sqref="AE23:AP37"/>
    </sheetView>
  </sheetViews>
  <sheetFormatPr defaultColWidth="9.28515625" defaultRowHeight="12.75" customHeight="1"/>
  <cols>
    <col min="1" max="1" width="5.28515625" customWidth="1"/>
    <col min="2" max="2" width="23.28515625" customWidth="1"/>
    <col min="3" max="3" width="13.7109375" bestFit="1" customWidth="1"/>
    <col min="4" max="4" width="11.42578125" style="2" customWidth="1"/>
    <col min="5" max="5" width="8.5703125" customWidth="1"/>
    <col min="6" max="6" width="5.85546875" customWidth="1"/>
    <col min="7" max="7" width="8.5703125" customWidth="1"/>
    <col min="8" max="18" width="7.42578125" customWidth="1"/>
    <col min="19" max="19" width="7.5703125" customWidth="1"/>
  </cols>
  <sheetData>
    <row r="2" spans="1:19" ht="18.75">
      <c r="A2" s="48" t="s">
        <v>299</v>
      </c>
      <c r="H2" s="89"/>
      <c r="I2" s="89"/>
      <c r="J2" s="577" t="s">
        <v>302</v>
      </c>
      <c r="K2" s="577"/>
      <c r="L2" s="577"/>
      <c r="M2" s="577"/>
      <c r="N2" s="577"/>
      <c r="O2" s="577"/>
      <c r="P2" s="577"/>
      <c r="Q2" s="577"/>
      <c r="R2" s="46" t="s">
        <v>303</v>
      </c>
      <c r="S2" s="49"/>
    </row>
    <row r="3" spans="1:19" ht="40.5" customHeight="1">
      <c r="A3" s="238" t="s">
        <v>228</v>
      </c>
      <c r="B3" s="239" t="s">
        <v>3</v>
      </c>
      <c r="C3" s="239" t="s">
        <v>4</v>
      </c>
      <c r="D3" s="239" t="s">
        <v>7</v>
      </c>
      <c r="E3" s="239" t="s">
        <v>229</v>
      </c>
      <c r="F3" s="239" t="s">
        <v>230</v>
      </c>
      <c r="G3" s="239" t="s">
        <v>14</v>
      </c>
      <c r="H3" s="240">
        <v>45748</v>
      </c>
      <c r="I3" s="240">
        <v>45778</v>
      </c>
      <c r="J3" s="240">
        <v>45809</v>
      </c>
      <c r="K3" s="240">
        <v>45839</v>
      </c>
      <c r="L3" s="240">
        <v>45870</v>
      </c>
      <c r="M3" s="240">
        <v>45901</v>
      </c>
      <c r="N3" s="240">
        <v>45931</v>
      </c>
      <c r="O3" s="240">
        <v>45962</v>
      </c>
      <c r="P3" s="240">
        <v>45992</v>
      </c>
      <c r="Q3" s="240">
        <v>46023</v>
      </c>
      <c r="R3" s="240">
        <v>46054</v>
      </c>
      <c r="S3" s="241">
        <v>46082</v>
      </c>
    </row>
    <row r="4" spans="1:19" s="3" customFormat="1" ht="20.100000000000001" customHeight="1">
      <c r="A4" s="242">
        <v>1</v>
      </c>
      <c r="B4" s="243" t="s">
        <v>231</v>
      </c>
      <c r="C4" s="243" t="s">
        <v>101</v>
      </c>
      <c r="D4" s="243" t="s">
        <v>33</v>
      </c>
      <c r="E4" s="242">
        <v>52</v>
      </c>
      <c r="F4" s="242">
        <f t="shared" ref="F4:F10" si="0">E4/5.2</f>
        <v>10</v>
      </c>
      <c r="G4" s="242" t="s">
        <v>39</v>
      </c>
      <c r="H4" s="245">
        <f>10*5.2</f>
        <v>52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</row>
    <row r="5" spans="1:19" s="3" customFormat="1" ht="20.100000000000001" customHeight="1">
      <c r="A5" s="224">
        <v>2</v>
      </c>
      <c r="B5" s="106" t="s">
        <v>232</v>
      </c>
      <c r="C5" s="106" t="s">
        <v>106</v>
      </c>
      <c r="D5" s="106" t="s">
        <v>62</v>
      </c>
      <c r="E5" s="224">
        <v>57.2</v>
      </c>
      <c r="F5" s="224">
        <f t="shared" si="0"/>
        <v>11</v>
      </c>
      <c r="G5" s="224" t="s">
        <v>39</v>
      </c>
      <c r="H5" s="226"/>
      <c r="I5" s="226">
        <f>5*5.2</f>
        <v>26</v>
      </c>
      <c r="J5" s="226">
        <f>6*5.2</f>
        <v>31.200000000000003</v>
      </c>
      <c r="K5" s="226"/>
      <c r="L5" s="226"/>
      <c r="M5" s="226"/>
      <c r="N5" s="226"/>
      <c r="O5" s="226"/>
      <c r="P5" s="226"/>
      <c r="Q5" s="226"/>
      <c r="R5" s="226"/>
      <c r="S5" s="226"/>
    </row>
    <row r="6" spans="1:19" s="3" customFormat="1" ht="20.100000000000001" customHeight="1">
      <c r="A6" s="224">
        <v>3</v>
      </c>
      <c r="B6" s="106" t="s">
        <v>231</v>
      </c>
      <c r="C6" s="106" t="s">
        <v>50</v>
      </c>
      <c r="D6" s="106" t="s">
        <v>33</v>
      </c>
      <c r="E6" s="224">
        <v>62.4</v>
      </c>
      <c r="F6" s="224">
        <f t="shared" si="0"/>
        <v>12</v>
      </c>
      <c r="G6" s="224" t="s">
        <v>39</v>
      </c>
      <c r="H6" s="226">
        <f>10*5.2</f>
        <v>52</v>
      </c>
      <c r="I6" s="226"/>
      <c r="J6" s="226">
        <f>2*5.2</f>
        <v>10.4</v>
      </c>
      <c r="K6" s="226"/>
      <c r="L6" s="226"/>
      <c r="M6" s="226"/>
      <c r="N6" s="226"/>
      <c r="O6" s="226"/>
      <c r="P6" s="226"/>
      <c r="Q6" s="226"/>
      <c r="R6" s="226"/>
      <c r="S6" s="226"/>
    </row>
    <row r="7" spans="1:19" s="3" customFormat="1" ht="20.100000000000001" customHeight="1">
      <c r="A7" s="224">
        <v>4</v>
      </c>
      <c r="B7" s="106" t="s">
        <v>233</v>
      </c>
      <c r="C7" s="106" t="s">
        <v>95</v>
      </c>
      <c r="D7" s="106" t="s">
        <v>33</v>
      </c>
      <c r="E7" s="224">
        <v>156.00000000000003</v>
      </c>
      <c r="F7" s="224">
        <f t="shared" si="0"/>
        <v>30.000000000000004</v>
      </c>
      <c r="G7" s="224" t="s">
        <v>59</v>
      </c>
      <c r="H7" s="226"/>
      <c r="I7" s="226"/>
      <c r="J7" s="226">
        <f>23*5.2</f>
        <v>119.60000000000001</v>
      </c>
      <c r="K7" s="226">
        <f>5*5.2</f>
        <v>26</v>
      </c>
      <c r="L7" s="226">
        <f>2*5.2</f>
        <v>10.4</v>
      </c>
      <c r="M7" s="226"/>
      <c r="N7" s="226"/>
      <c r="O7" s="226"/>
      <c r="P7" s="226"/>
      <c r="Q7" s="226"/>
      <c r="R7" s="226"/>
      <c r="S7" s="226"/>
    </row>
    <row r="8" spans="1:19" s="3" customFormat="1" ht="20.100000000000001" customHeight="1">
      <c r="A8" s="224">
        <v>5</v>
      </c>
      <c r="B8" s="106" t="s">
        <v>231</v>
      </c>
      <c r="C8" s="106" t="s">
        <v>50</v>
      </c>
      <c r="D8" s="106" t="s">
        <v>33</v>
      </c>
      <c r="E8" s="224">
        <v>67.599999999999994</v>
      </c>
      <c r="F8" s="224">
        <f t="shared" si="0"/>
        <v>12.999999999999998</v>
      </c>
      <c r="G8" s="224" t="s">
        <v>75</v>
      </c>
      <c r="H8" s="226"/>
      <c r="I8" s="226"/>
      <c r="J8" s="226"/>
      <c r="K8" s="226"/>
      <c r="L8" s="226"/>
      <c r="M8" s="226">
        <f>10*5.2</f>
        <v>52</v>
      </c>
      <c r="N8" s="226">
        <f>3*5.2</f>
        <v>15.600000000000001</v>
      </c>
      <c r="O8" s="226"/>
      <c r="P8" s="226"/>
      <c r="Q8" s="226"/>
      <c r="R8" s="226"/>
      <c r="S8" s="226"/>
    </row>
    <row r="9" spans="1:19" s="3" customFormat="1" ht="20.100000000000001" customHeight="1">
      <c r="A9" s="224">
        <v>6</v>
      </c>
      <c r="B9" s="106" t="s">
        <v>231</v>
      </c>
      <c r="C9" s="106" t="s">
        <v>208</v>
      </c>
      <c r="D9" s="106" t="s">
        <v>33</v>
      </c>
      <c r="E9" s="224">
        <v>130</v>
      </c>
      <c r="F9" s="224">
        <f t="shared" si="0"/>
        <v>25</v>
      </c>
      <c r="G9" s="224" t="s">
        <v>75</v>
      </c>
      <c r="H9" s="226"/>
      <c r="I9" s="226"/>
      <c r="J9" s="226"/>
      <c r="K9" s="226">
        <f>10*5.2</f>
        <v>52</v>
      </c>
      <c r="L9" s="226">
        <f>5*5.2</f>
        <v>26</v>
      </c>
      <c r="M9" s="226">
        <f>5*5.2</f>
        <v>26</v>
      </c>
      <c r="N9" s="226">
        <f>5*5.2</f>
        <v>26</v>
      </c>
      <c r="O9" s="226"/>
      <c r="P9" s="226"/>
      <c r="Q9" s="226"/>
      <c r="R9" s="226"/>
      <c r="S9" s="226"/>
    </row>
    <row r="10" spans="1:19" s="3" customFormat="1" ht="20.100000000000001" customHeight="1">
      <c r="A10" s="224">
        <v>7</v>
      </c>
      <c r="B10" s="106" t="s">
        <v>234</v>
      </c>
      <c r="C10" s="106" t="s">
        <v>70</v>
      </c>
      <c r="D10" s="106" t="s">
        <v>33</v>
      </c>
      <c r="E10" s="224">
        <v>15.600000000000001</v>
      </c>
      <c r="F10" s="224">
        <f t="shared" si="0"/>
        <v>3</v>
      </c>
      <c r="G10" s="224" t="s">
        <v>75</v>
      </c>
      <c r="H10" s="226"/>
      <c r="I10" s="226"/>
      <c r="J10" s="226"/>
      <c r="K10" s="226"/>
      <c r="L10" s="226">
        <f>3*5.2</f>
        <v>15.600000000000001</v>
      </c>
      <c r="M10" s="226"/>
      <c r="N10" s="226"/>
      <c r="O10" s="226"/>
      <c r="P10" s="226"/>
      <c r="Q10" s="226"/>
      <c r="R10" s="226"/>
      <c r="S10" s="226"/>
    </row>
    <row r="11" spans="1:19" s="3" customFormat="1" ht="20.100000000000001" customHeight="1">
      <c r="A11" s="224">
        <v>8</v>
      </c>
      <c r="B11" s="106" t="s">
        <v>234</v>
      </c>
      <c r="C11" s="106" t="s">
        <v>70</v>
      </c>
      <c r="D11" s="106" t="s">
        <v>33</v>
      </c>
      <c r="E11" s="224">
        <v>26</v>
      </c>
      <c r="F11" s="224">
        <f>E11/5.2</f>
        <v>5</v>
      </c>
      <c r="G11" s="224" t="s">
        <v>75</v>
      </c>
      <c r="H11" s="226">
        <f>3*5.2*0</f>
        <v>0</v>
      </c>
      <c r="I11" s="226"/>
      <c r="J11" s="226"/>
      <c r="K11" s="226"/>
      <c r="L11" s="226">
        <f>5*5.2</f>
        <v>26</v>
      </c>
      <c r="M11" s="226"/>
      <c r="N11" s="226"/>
      <c r="O11" s="226"/>
      <c r="P11" s="226"/>
      <c r="Q11" s="226"/>
      <c r="R11" s="226"/>
      <c r="S11" s="226"/>
    </row>
    <row r="12" spans="1:19" s="3" customFormat="1" ht="20.100000000000001" customHeight="1">
      <c r="A12" s="224">
        <v>9</v>
      </c>
      <c r="B12" s="106" t="s">
        <v>233</v>
      </c>
      <c r="C12" s="106" t="s">
        <v>80</v>
      </c>
      <c r="D12" s="106" t="s">
        <v>33</v>
      </c>
      <c r="E12" s="224">
        <v>62.400000000000006</v>
      </c>
      <c r="F12" s="224">
        <f>E12/5.2</f>
        <v>12</v>
      </c>
      <c r="G12" s="224" t="s">
        <v>75</v>
      </c>
      <c r="H12" s="226"/>
      <c r="I12" s="226"/>
      <c r="J12" s="226"/>
      <c r="K12" s="226"/>
      <c r="L12" s="226"/>
      <c r="M12" s="226"/>
      <c r="N12" s="226">
        <f>12*5.2</f>
        <v>62.400000000000006</v>
      </c>
      <c r="O12" s="226"/>
      <c r="P12" s="226"/>
      <c r="Q12" s="226"/>
      <c r="R12" s="226"/>
      <c r="S12" s="226"/>
    </row>
    <row r="13" spans="1:19" s="3" customFormat="1" ht="20.100000000000001" customHeight="1">
      <c r="A13" s="224">
        <v>10</v>
      </c>
      <c r="B13" s="106" t="s">
        <v>235</v>
      </c>
      <c r="C13" s="106" t="s">
        <v>50</v>
      </c>
      <c r="D13" s="106" t="s">
        <v>44</v>
      </c>
      <c r="E13" s="224">
        <v>202.8</v>
      </c>
      <c r="F13" s="224">
        <f>E13/5.2</f>
        <v>39</v>
      </c>
      <c r="G13" s="224" t="s">
        <v>53</v>
      </c>
      <c r="H13" s="226"/>
      <c r="I13" s="226"/>
      <c r="J13" s="226"/>
      <c r="K13" s="226"/>
      <c r="L13" s="226"/>
      <c r="M13" s="226"/>
      <c r="N13" s="226"/>
      <c r="O13" s="226">
        <f>20*5.2</f>
        <v>104</v>
      </c>
      <c r="P13" s="226">
        <f>19*5.2</f>
        <v>98.8</v>
      </c>
      <c r="Q13" s="226"/>
      <c r="R13" s="226"/>
      <c r="S13" s="226"/>
    </row>
    <row r="14" spans="1:19" s="3" customFormat="1" ht="20.100000000000001" customHeight="1">
      <c r="A14" s="224" t="s">
        <v>209</v>
      </c>
      <c r="B14" s="106" t="s">
        <v>231</v>
      </c>
      <c r="C14" s="106" t="s">
        <v>111</v>
      </c>
      <c r="D14" s="106" t="s">
        <v>33</v>
      </c>
      <c r="E14" s="224">
        <v>156</v>
      </c>
      <c r="F14" s="224">
        <f>E14/5.2</f>
        <v>30</v>
      </c>
      <c r="G14" s="224" t="s">
        <v>136</v>
      </c>
      <c r="H14" s="226"/>
      <c r="I14" s="226"/>
      <c r="J14" s="226"/>
      <c r="K14" s="226"/>
      <c r="L14" s="226"/>
      <c r="M14" s="226"/>
      <c r="N14" s="226"/>
      <c r="O14" s="226"/>
      <c r="P14" s="226"/>
      <c r="Q14" s="226">
        <f>20*5.2</f>
        <v>104</v>
      </c>
      <c r="R14" s="226">
        <f>10*5.2</f>
        <v>52</v>
      </c>
      <c r="S14" s="226"/>
    </row>
    <row r="15" spans="1:19" s="3" customFormat="1" ht="20.100000000000001" customHeight="1">
      <c r="A15" s="244" t="s">
        <v>187</v>
      </c>
      <c r="B15" s="108" t="s">
        <v>231</v>
      </c>
      <c r="C15" s="108" t="s">
        <v>116</v>
      </c>
      <c r="D15" s="108" t="s">
        <v>33</v>
      </c>
      <c r="E15" s="244">
        <v>140.4</v>
      </c>
      <c r="F15" s="244">
        <f>E15/5.2</f>
        <v>27</v>
      </c>
      <c r="G15" s="244" t="s">
        <v>157</v>
      </c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6">
        <f>15*5.2</f>
        <v>78</v>
      </c>
      <c r="S15" s="246">
        <f>12*5.2</f>
        <v>62.400000000000006</v>
      </c>
    </row>
    <row r="16" spans="1:19" s="11" customFormat="1" ht="20.100000000000001" customHeight="1">
      <c r="A16" s="29"/>
      <c r="B16" s="29" t="s">
        <v>64</v>
      </c>
      <c r="C16" s="29"/>
      <c r="D16" s="30"/>
      <c r="E16" s="29">
        <f>SUM(E4:E15)</f>
        <v>1128.4000000000001</v>
      </c>
      <c r="F16" s="29">
        <f>SUM(F4:F15)</f>
        <v>217</v>
      </c>
      <c r="G16" s="29"/>
      <c r="H16" s="29">
        <f t="shared" ref="H16:S16" si="1">SUM(H4:H15)</f>
        <v>104</v>
      </c>
      <c r="I16" s="29">
        <f t="shared" si="1"/>
        <v>26</v>
      </c>
      <c r="J16" s="29">
        <f t="shared" si="1"/>
        <v>161.20000000000002</v>
      </c>
      <c r="K16" s="29">
        <f t="shared" si="1"/>
        <v>78</v>
      </c>
      <c r="L16" s="29">
        <f t="shared" si="1"/>
        <v>78</v>
      </c>
      <c r="M16" s="29">
        <f t="shared" si="1"/>
        <v>78</v>
      </c>
      <c r="N16" s="29">
        <f t="shared" si="1"/>
        <v>104</v>
      </c>
      <c r="O16" s="29">
        <f t="shared" si="1"/>
        <v>104</v>
      </c>
      <c r="P16" s="29">
        <f t="shared" si="1"/>
        <v>98.8</v>
      </c>
      <c r="Q16" s="29">
        <f t="shared" si="1"/>
        <v>104</v>
      </c>
      <c r="R16" s="29">
        <f t="shared" si="1"/>
        <v>130</v>
      </c>
      <c r="S16" s="29">
        <f t="shared" si="1"/>
        <v>62.400000000000006</v>
      </c>
    </row>
    <row r="19" spans="1:19" s="3" customFormat="1" ht="23.25" customHeight="1">
      <c r="A19" s="242" t="s">
        <v>212</v>
      </c>
      <c r="B19" s="243" t="s">
        <v>231</v>
      </c>
      <c r="C19" s="243" t="s">
        <v>111</v>
      </c>
      <c r="D19" s="243" t="s">
        <v>33</v>
      </c>
      <c r="E19" s="242">
        <f t="shared" ref="E19:E23" si="2">SUM(H19:S19)</f>
        <v>98.800000000000011</v>
      </c>
      <c r="F19" s="242">
        <f t="shared" ref="F19:F23" si="3">E19/5.2</f>
        <v>19</v>
      </c>
      <c r="G19" s="242"/>
      <c r="H19" s="245">
        <f>SUM(H20:H21)</f>
        <v>0</v>
      </c>
      <c r="I19" s="245">
        <f t="shared" ref="I19:S19" si="4">SUM(I20:I21)</f>
        <v>0</v>
      </c>
      <c r="J19" s="245">
        <f t="shared" si="4"/>
        <v>0</v>
      </c>
      <c r="K19" s="245">
        <f t="shared" si="4"/>
        <v>0</v>
      </c>
      <c r="L19" s="245">
        <f t="shared" si="4"/>
        <v>0</v>
      </c>
      <c r="M19" s="245">
        <f t="shared" si="4"/>
        <v>0</v>
      </c>
      <c r="N19" s="245">
        <f t="shared" si="4"/>
        <v>0</v>
      </c>
      <c r="O19" s="245">
        <f t="shared" si="4"/>
        <v>0</v>
      </c>
      <c r="P19" s="245">
        <f t="shared" si="4"/>
        <v>0</v>
      </c>
      <c r="Q19" s="245">
        <f t="shared" si="4"/>
        <v>98.800000000000011</v>
      </c>
      <c r="R19" s="245">
        <f t="shared" si="4"/>
        <v>0</v>
      </c>
      <c r="S19" s="245">
        <f t="shared" si="4"/>
        <v>0</v>
      </c>
    </row>
    <row r="20" spans="1:19" s="3" customFormat="1" ht="23.25" customHeight="1">
      <c r="A20" s="228"/>
      <c r="B20" s="227"/>
      <c r="C20" s="227"/>
      <c r="D20" s="227"/>
      <c r="E20" s="228"/>
      <c r="F20" s="228"/>
      <c r="G20" s="228" t="s">
        <v>136</v>
      </c>
      <c r="H20" s="257"/>
      <c r="I20" s="257"/>
      <c r="J20" s="257"/>
      <c r="K20" s="257"/>
      <c r="L20" s="257"/>
      <c r="M20" s="257"/>
      <c r="N20" s="257"/>
      <c r="O20" s="257"/>
      <c r="P20" s="257"/>
      <c r="Q20" s="257">
        <f>6*5.2</f>
        <v>31.200000000000003</v>
      </c>
      <c r="R20" s="257"/>
      <c r="S20" s="257"/>
    </row>
    <row r="21" spans="1:19" s="3" customFormat="1" ht="23.25" customHeight="1">
      <c r="A21" s="228"/>
      <c r="B21" s="227"/>
      <c r="C21" s="227"/>
      <c r="D21" s="227"/>
      <c r="E21" s="228"/>
      <c r="F21" s="228"/>
      <c r="G21" s="228" t="s">
        <v>159</v>
      </c>
      <c r="H21" s="257"/>
      <c r="I21" s="257"/>
      <c r="J21" s="257"/>
      <c r="K21" s="257"/>
      <c r="L21" s="257"/>
      <c r="M21" s="257"/>
      <c r="N21" s="257"/>
      <c r="O21" s="257"/>
      <c r="P21" s="257"/>
      <c r="Q21" s="257">
        <f>13*5.2</f>
        <v>67.600000000000009</v>
      </c>
      <c r="R21" s="257"/>
      <c r="S21" s="257"/>
    </row>
    <row r="22" spans="1:19" s="3" customFormat="1" ht="23.25" customHeight="1">
      <c r="A22" s="224" t="s">
        <v>188</v>
      </c>
      <c r="B22" s="106" t="s">
        <v>231</v>
      </c>
      <c r="C22" s="106" t="s">
        <v>116</v>
      </c>
      <c r="D22" s="106" t="s">
        <v>33</v>
      </c>
      <c r="E22" s="224">
        <f t="shared" si="2"/>
        <v>312</v>
      </c>
      <c r="F22" s="224">
        <f t="shared" si="3"/>
        <v>60</v>
      </c>
      <c r="G22" s="224" t="s">
        <v>157</v>
      </c>
      <c r="H22" s="226"/>
      <c r="I22" s="226"/>
      <c r="J22" s="226"/>
      <c r="K22" s="226"/>
      <c r="L22" s="226"/>
      <c r="M22" s="226"/>
      <c r="N22" s="226"/>
      <c r="O22" s="226"/>
      <c r="P22" s="226"/>
      <c r="Q22" s="226">
        <f>8*5.2</f>
        <v>41.6</v>
      </c>
      <c r="R22" s="226">
        <f>30*5.2</f>
        <v>156</v>
      </c>
      <c r="S22" s="226">
        <f>22*5.2</f>
        <v>114.4</v>
      </c>
    </row>
    <row r="23" spans="1:19" s="3" customFormat="1" ht="23.25" customHeight="1">
      <c r="A23" s="224">
        <v>13</v>
      </c>
      <c r="B23" s="106" t="s">
        <v>30</v>
      </c>
      <c r="C23" s="106" t="s">
        <v>186</v>
      </c>
      <c r="D23" s="106" t="s">
        <v>33</v>
      </c>
      <c r="E23" s="224">
        <f t="shared" si="2"/>
        <v>10.4</v>
      </c>
      <c r="F23" s="224">
        <f t="shared" si="3"/>
        <v>2</v>
      </c>
      <c r="G23" s="224" t="s">
        <v>35</v>
      </c>
      <c r="H23" s="226"/>
      <c r="I23" s="226"/>
      <c r="J23" s="226"/>
      <c r="K23" s="226"/>
      <c r="L23" s="226"/>
      <c r="M23" s="226"/>
      <c r="N23" s="226"/>
      <c r="O23" s="226"/>
      <c r="P23" s="226">
        <f>2*5.2</f>
        <v>10.4</v>
      </c>
      <c r="Q23" s="226"/>
      <c r="R23" s="226"/>
      <c r="S23" s="226"/>
    </row>
    <row r="24" spans="1:19" s="3" customFormat="1" ht="23.25" customHeight="1">
      <c r="A24" s="29"/>
      <c r="B24" s="28" t="s">
        <v>239</v>
      </c>
      <c r="C24" s="28"/>
      <c r="D24" s="28"/>
      <c r="E24" s="29">
        <f>SUM(E19:E23)</f>
        <v>421.2</v>
      </c>
      <c r="F24" s="29">
        <f>SUM(F19:F23)</f>
        <v>81</v>
      </c>
      <c r="G24" s="29"/>
      <c r="H24" s="258">
        <f>SUM(H20:H23)</f>
        <v>0</v>
      </c>
      <c r="I24" s="258">
        <f t="shared" ref="I24:S24" si="5">SUM(I20:I23)</f>
        <v>0</v>
      </c>
      <c r="J24" s="258">
        <f t="shared" si="5"/>
        <v>0</v>
      </c>
      <c r="K24" s="258">
        <f t="shared" si="5"/>
        <v>0</v>
      </c>
      <c r="L24" s="258">
        <f t="shared" si="5"/>
        <v>0</v>
      </c>
      <c r="M24" s="258">
        <f t="shared" si="5"/>
        <v>0</v>
      </c>
      <c r="N24" s="258">
        <f t="shared" si="5"/>
        <v>0</v>
      </c>
      <c r="O24" s="258">
        <f t="shared" si="5"/>
        <v>0</v>
      </c>
      <c r="P24" s="258">
        <f t="shared" si="5"/>
        <v>10.4</v>
      </c>
      <c r="Q24" s="258">
        <f t="shared" si="5"/>
        <v>140.4</v>
      </c>
      <c r="R24" s="258">
        <f t="shared" si="5"/>
        <v>156</v>
      </c>
      <c r="S24" s="258">
        <f t="shared" si="5"/>
        <v>114.4</v>
      </c>
    </row>
    <row r="25" spans="1:19" ht="12.75" customHeight="1">
      <c r="C25" s="56"/>
    </row>
    <row r="26" spans="1:19" s="3" customFormat="1" ht="23.25" customHeight="1">
      <c r="A26" s="29"/>
      <c r="B26" s="28" t="s">
        <v>64</v>
      </c>
      <c r="C26" s="28"/>
      <c r="D26" s="28"/>
      <c r="E26" s="29">
        <f>+E24+E16</f>
        <v>1549.6000000000001</v>
      </c>
      <c r="F26" s="29">
        <f>+F24+F16</f>
        <v>298</v>
      </c>
      <c r="G26" s="29">
        <f t="shared" ref="G26:S26" si="6">+G24+G16</f>
        <v>0</v>
      </c>
      <c r="H26" s="29">
        <f t="shared" si="6"/>
        <v>104</v>
      </c>
      <c r="I26" s="29">
        <f t="shared" si="6"/>
        <v>26</v>
      </c>
      <c r="J26" s="29">
        <f t="shared" si="6"/>
        <v>161.20000000000002</v>
      </c>
      <c r="K26" s="29">
        <f t="shared" si="6"/>
        <v>78</v>
      </c>
      <c r="L26" s="29">
        <f t="shared" si="6"/>
        <v>78</v>
      </c>
      <c r="M26" s="29">
        <f t="shared" si="6"/>
        <v>78</v>
      </c>
      <c r="N26" s="29">
        <f t="shared" si="6"/>
        <v>104</v>
      </c>
      <c r="O26" s="29">
        <f t="shared" si="6"/>
        <v>104</v>
      </c>
      <c r="P26" s="29">
        <f t="shared" si="6"/>
        <v>109.2</v>
      </c>
      <c r="Q26" s="29">
        <f t="shared" si="6"/>
        <v>244.4</v>
      </c>
      <c r="R26" s="29">
        <f t="shared" si="6"/>
        <v>286</v>
      </c>
      <c r="S26" s="29">
        <f t="shared" si="6"/>
        <v>176.8</v>
      </c>
    </row>
  </sheetData>
  <mergeCells count="1">
    <mergeCell ref="J2:Q2"/>
  </mergeCells>
  <pageMargins left="0.31496062992125984" right="0.31496062992125984" top="0.74803149606299213" bottom="0.74803149606299213" header="0.31496062992125984" footer="0.31496062992125984"/>
  <pageSetup paperSize="8" scale="8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C62B-C616-4AFC-AD1F-F1B77DA56638}">
  <sheetPr>
    <pageSetUpPr fitToPage="1"/>
  </sheetPr>
  <dimension ref="A1:AL70"/>
  <sheetViews>
    <sheetView showGridLines="0" showZeros="0" zoomScale="87" zoomScaleNormal="100" zoomScaleSheetLayoutView="100" workbookViewId="0">
      <pane xSplit="9" ySplit="4" topLeftCell="L28" activePane="bottomRight" state="frozen"/>
      <selection pane="bottomRight" activeCell="B33" sqref="B33"/>
      <selection pane="bottomLeft" activeCell="A5" sqref="A5"/>
      <selection pane="topRight" activeCell="J1" sqref="J1"/>
    </sheetView>
  </sheetViews>
  <sheetFormatPr defaultColWidth="9.140625" defaultRowHeight="12.75" customHeight="1"/>
  <cols>
    <col min="1" max="1" width="4.85546875" customWidth="1"/>
    <col min="2" max="2" width="26.7109375" bestFit="1" customWidth="1"/>
    <col min="3" max="3" width="13.7109375" style="56" bestFit="1" customWidth="1"/>
    <col min="4" max="4" width="10.85546875" style="418" bestFit="1" customWidth="1"/>
    <col min="5" max="5" width="8.5703125" customWidth="1"/>
    <col min="6" max="6" width="6.7109375" customWidth="1"/>
    <col min="7" max="7" width="8.5703125" customWidth="1"/>
    <col min="8" max="8" width="9.42578125" style="2" hidden="1" customWidth="1"/>
    <col min="9" max="9" width="7.5703125" hidden="1" customWidth="1"/>
    <col min="10" max="19" width="7.42578125" customWidth="1"/>
    <col min="20" max="21" width="7.5703125" customWidth="1"/>
    <col min="22" max="22" width="1.7109375" customWidth="1"/>
    <col min="23" max="30" width="9.28515625" customWidth="1"/>
  </cols>
  <sheetData>
    <row r="1" spans="1:38" ht="12.75" customHeight="1" thickBot="1"/>
    <row r="2" spans="1:38" ht="24.75" customHeight="1">
      <c r="A2" s="646" t="s">
        <v>304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8"/>
      <c r="O2" s="649" t="s">
        <v>1</v>
      </c>
      <c r="P2" s="650"/>
      <c r="Q2" s="650"/>
      <c r="R2" s="650"/>
      <c r="S2" s="650"/>
      <c r="T2" s="650"/>
      <c r="U2" s="651"/>
      <c r="V2" s="425"/>
      <c r="W2" s="652" t="s">
        <v>305</v>
      </c>
      <c r="X2" s="653"/>
      <c r="Y2" s="653"/>
      <c r="Z2" s="653"/>
      <c r="AA2" s="653"/>
      <c r="AB2" s="653"/>
      <c r="AC2" s="653"/>
      <c r="AD2" s="654"/>
    </row>
    <row r="3" spans="1:38" ht="34.5" customHeight="1">
      <c r="A3" s="655" t="s">
        <v>228</v>
      </c>
      <c r="B3" s="657" t="s">
        <v>3</v>
      </c>
      <c r="C3" s="657" t="s">
        <v>4</v>
      </c>
      <c r="D3" s="657" t="s">
        <v>7</v>
      </c>
      <c r="E3" s="657" t="s">
        <v>306</v>
      </c>
      <c r="F3" s="657" t="s">
        <v>307</v>
      </c>
      <c r="G3" s="657" t="s">
        <v>14</v>
      </c>
      <c r="H3" s="360" t="s">
        <v>15</v>
      </c>
      <c r="I3" s="426" t="s">
        <v>308</v>
      </c>
      <c r="J3" s="662">
        <v>45748</v>
      </c>
      <c r="K3" s="662">
        <v>45778</v>
      </c>
      <c r="L3" s="662">
        <v>45809</v>
      </c>
      <c r="M3" s="662">
        <v>45839</v>
      </c>
      <c r="N3" s="662">
        <v>45870</v>
      </c>
      <c r="O3" s="662">
        <v>45901</v>
      </c>
      <c r="P3" s="662">
        <v>45931</v>
      </c>
      <c r="Q3" s="662">
        <v>45962</v>
      </c>
      <c r="R3" s="662">
        <v>45992</v>
      </c>
      <c r="S3" s="662">
        <v>46023</v>
      </c>
      <c r="T3" s="662">
        <v>46054</v>
      </c>
      <c r="U3" s="662">
        <v>46082</v>
      </c>
      <c r="V3" s="427"/>
      <c r="W3" s="659" t="s">
        <v>309</v>
      </c>
      <c r="X3" s="660"/>
      <c r="Y3" s="659" t="s">
        <v>310</v>
      </c>
      <c r="Z3" s="660"/>
      <c r="AA3" s="659" t="s">
        <v>311</v>
      </c>
      <c r="AB3" s="660"/>
      <c r="AC3" s="659" t="s">
        <v>312</v>
      </c>
      <c r="AD3" s="661"/>
    </row>
    <row r="4" spans="1:38" ht="22.5" customHeight="1">
      <c r="A4" s="656"/>
      <c r="B4" s="658"/>
      <c r="C4" s="658"/>
      <c r="D4" s="658"/>
      <c r="E4" s="658"/>
      <c r="F4" s="658"/>
      <c r="G4" s="658"/>
      <c r="H4" s="428"/>
      <c r="I4" s="429"/>
      <c r="J4" s="663"/>
      <c r="K4" s="663"/>
      <c r="L4" s="663"/>
      <c r="M4" s="663"/>
      <c r="N4" s="663"/>
      <c r="O4" s="663"/>
      <c r="P4" s="663"/>
      <c r="Q4" s="663"/>
      <c r="R4" s="663"/>
      <c r="S4" s="663"/>
      <c r="T4" s="663"/>
      <c r="U4" s="663"/>
      <c r="V4" s="430"/>
      <c r="W4" s="431" t="s">
        <v>241</v>
      </c>
      <c r="X4" s="431" t="s">
        <v>313</v>
      </c>
      <c r="Y4" s="431" t="s">
        <v>241</v>
      </c>
      <c r="Z4" s="431" t="s">
        <v>313</v>
      </c>
      <c r="AA4" s="431" t="s">
        <v>241</v>
      </c>
      <c r="AB4" s="431" t="s">
        <v>313</v>
      </c>
      <c r="AC4" s="431" t="s">
        <v>241</v>
      </c>
      <c r="AD4" s="432" t="s">
        <v>313</v>
      </c>
    </row>
    <row r="5" spans="1:38" s="3" customFormat="1" ht="20.25" customHeight="1">
      <c r="A5" s="230">
        <v>1</v>
      </c>
      <c r="B5" s="106" t="s">
        <v>314</v>
      </c>
      <c r="C5" s="224" t="s">
        <v>315</v>
      </c>
      <c r="D5" s="224" t="s">
        <v>62</v>
      </c>
      <c r="E5" s="224">
        <v>20.8</v>
      </c>
      <c r="F5" s="224">
        <f>E5/5.2</f>
        <v>4</v>
      </c>
      <c r="G5" s="224" t="s">
        <v>316</v>
      </c>
      <c r="H5" s="361" t="s">
        <v>36</v>
      </c>
      <c r="I5" s="229">
        <v>20.8</v>
      </c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433"/>
      <c r="W5" s="242">
        <f>+X5/5.2</f>
        <v>0</v>
      </c>
      <c r="X5" s="242">
        <f t="shared" ref="X5:X18" si="0">+SUM(J5:U5)</f>
        <v>0</v>
      </c>
      <c r="Y5" s="434">
        <f t="shared" ref="W5:Y17" si="1">+Z5/5.2</f>
        <v>0</v>
      </c>
      <c r="Z5" s="434">
        <f t="shared" ref="Z5:Z18" si="2">+SUM(J5:Q5)</f>
        <v>0</v>
      </c>
      <c r="AA5" s="434">
        <f t="shared" ref="AA5:AA17" si="3">+AB5/5.2</f>
        <v>4</v>
      </c>
      <c r="AB5" s="434">
        <v>20.8</v>
      </c>
      <c r="AC5" s="434">
        <f t="shared" ref="AC5:AC17" si="4">+AD5/5.2</f>
        <v>4</v>
      </c>
      <c r="AD5" s="435">
        <f>+AB5+Z5</f>
        <v>20.8</v>
      </c>
      <c r="AF5" s="3">
        <f t="shared" ref="AF5:AF17" si="5">E5-SUM(I5:U5)</f>
        <v>0</v>
      </c>
    </row>
    <row r="6" spans="1:38" s="3" customFormat="1" ht="20.25" customHeight="1">
      <c r="A6" s="230">
        <v>2</v>
      </c>
      <c r="B6" s="106" t="s">
        <v>231</v>
      </c>
      <c r="C6" s="224" t="s">
        <v>208</v>
      </c>
      <c r="D6" s="224" t="s">
        <v>33</v>
      </c>
      <c r="E6" s="224">
        <v>260</v>
      </c>
      <c r="F6" s="224">
        <f>E6/5.2</f>
        <v>50</v>
      </c>
      <c r="G6" s="224" t="s">
        <v>316</v>
      </c>
      <c r="H6" s="361" t="s">
        <v>36</v>
      </c>
      <c r="I6" s="229">
        <v>260</v>
      </c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433"/>
      <c r="W6" s="224">
        <f t="shared" si="1"/>
        <v>0</v>
      </c>
      <c r="X6" s="224">
        <f t="shared" si="0"/>
        <v>0</v>
      </c>
      <c r="Y6" s="359">
        <f t="shared" si="1"/>
        <v>0</v>
      </c>
      <c r="Z6" s="359">
        <f t="shared" si="2"/>
        <v>0</v>
      </c>
      <c r="AA6" s="359">
        <f t="shared" si="3"/>
        <v>50</v>
      </c>
      <c r="AB6" s="359">
        <v>260</v>
      </c>
      <c r="AC6" s="359">
        <f t="shared" si="4"/>
        <v>50</v>
      </c>
      <c r="AD6" s="436">
        <f t="shared" ref="AD6:AD18" si="6">+AB6+Z6</f>
        <v>260</v>
      </c>
      <c r="AF6" s="3">
        <f t="shared" si="5"/>
        <v>0</v>
      </c>
    </row>
    <row r="7" spans="1:38" s="3" customFormat="1" ht="20.25" customHeight="1">
      <c r="A7" s="230">
        <v>3</v>
      </c>
      <c r="B7" s="106" t="s">
        <v>233</v>
      </c>
      <c r="C7" s="437" t="s">
        <v>317</v>
      </c>
      <c r="D7" s="224" t="s">
        <v>33</v>
      </c>
      <c r="E7" s="224">
        <f>23*5.2</f>
        <v>119.60000000000001</v>
      </c>
      <c r="F7" s="224">
        <f t="shared" ref="F7:F14" si="7">E7/5.2</f>
        <v>23</v>
      </c>
      <c r="G7" s="224" t="s">
        <v>35</v>
      </c>
      <c r="H7" s="361" t="s">
        <v>36</v>
      </c>
      <c r="I7" s="229">
        <f>23*5.2</f>
        <v>119.60000000000001</v>
      </c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433"/>
      <c r="W7" s="224">
        <f t="shared" si="1"/>
        <v>0</v>
      </c>
      <c r="X7" s="224">
        <f t="shared" si="0"/>
        <v>0</v>
      </c>
      <c r="Y7" s="359">
        <f t="shared" si="1"/>
        <v>0</v>
      </c>
      <c r="Z7" s="359">
        <f t="shared" si="2"/>
        <v>0</v>
      </c>
      <c r="AA7" s="359">
        <f t="shared" si="3"/>
        <v>23</v>
      </c>
      <c r="AB7" s="359">
        <f>23*5.2</f>
        <v>119.60000000000001</v>
      </c>
      <c r="AC7" s="359">
        <f t="shared" si="4"/>
        <v>23</v>
      </c>
      <c r="AD7" s="436">
        <f t="shared" si="6"/>
        <v>119.60000000000001</v>
      </c>
      <c r="AF7" s="3">
        <f t="shared" si="5"/>
        <v>0</v>
      </c>
      <c r="AG7" s="3">
        <f>884+4345</f>
        <v>5229</v>
      </c>
    </row>
    <row r="8" spans="1:38" s="3" customFormat="1" ht="20.25" customHeight="1">
      <c r="A8" s="230">
        <v>4</v>
      </c>
      <c r="B8" s="106" t="s">
        <v>231</v>
      </c>
      <c r="C8" s="224" t="s">
        <v>208</v>
      </c>
      <c r="D8" s="224" t="s">
        <v>33</v>
      </c>
      <c r="E8" s="224">
        <f>24*5.2</f>
        <v>124.80000000000001</v>
      </c>
      <c r="F8" s="224">
        <f t="shared" si="7"/>
        <v>24</v>
      </c>
      <c r="G8" s="224" t="s">
        <v>45</v>
      </c>
      <c r="H8" s="361" t="s">
        <v>36</v>
      </c>
      <c r="I8" s="229">
        <f>24*5.2</f>
        <v>124.80000000000001</v>
      </c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433"/>
      <c r="W8" s="224">
        <f t="shared" si="1"/>
        <v>0</v>
      </c>
      <c r="X8" s="224">
        <f t="shared" si="0"/>
        <v>0</v>
      </c>
      <c r="Y8" s="359">
        <f t="shared" si="1"/>
        <v>0</v>
      </c>
      <c r="Z8" s="359">
        <f t="shared" si="2"/>
        <v>0</v>
      </c>
      <c r="AA8" s="359">
        <f t="shared" si="3"/>
        <v>24</v>
      </c>
      <c r="AB8" s="359">
        <f>24*5.2</f>
        <v>124.80000000000001</v>
      </c>
      <c r="AC8" s="359">
        <f t="shared" si="4"/>
        <v>24</v>
      </c>
      <c r="AD8" s="436">
        <f t="shared" si="6"/>
        <v>124.80000000000001</v>
      </c>
      <c r="AF8" s="3">
        <f t="shared" si="5"/>
        <v>0</v>
      </c>
    </row>
    <row r="9" spans="1:38" s="3" customFormat="1" ht="20.25" customHeight="1">
      <c r="A9" s="230">
        <v>5</v>
      </c>
      <c r="B9" s="106" t="s">
        <v>231</v>
      </c>
      <c r="C9" s="224" t="s">
        <v>101</v>
      </c>
      <c r="D9" s="224" t="s">
        <v>33</v>
      </c>
      <c r="E9" s="224">
        <f>20*5.2</f>
        <v>104</v>
      </c>
      <c r="F9" s="224">
        <f t="shared" si="7"/>
        <v>20</v>
      </c>
      <c r="G9" s="224" t="s">
        <v>39</v>
      </c>
      <c r="H9" s="361" t="s">
        <v>36</v>
      </c>
      <c r="I9" s="229">
        <f>10*5.2</f>
        <v>52</v>
      </c>
      <c r="J9" s="229">
        <f>10*5.2</f>
        <v>52</v>
      </c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433"/>
      <c r="W9" s="224">
        <f t="shared" si="1"/>
        <v>10</v>
      </c>
      <c r="X9" s="224">
        <f t="shared" si="0"/>
        <v>52</v>
      </c>
      <c r="Y9" s="359">
        <f t="shared" si="1"/>
        <v>10</v>
      </c>
      <c r="Z9" s="359">
        <f t="shared" si="2"/>
        <v>52</v>
      </c>
      <c r="AA9" s="359">
        <f t="shared" si="3"/>
        <v>10</v>
      </c>
      <c r="AB9" s="359">
        <f>10*5.2</f>
        <v>52</v>
      </c>
      <c r="AC9" s="359">
        <f t="shared" si="4"/>
        <v>20</v>
      </c>
      <c r="AD9" s="436">
        <f t="shared" si="6"/>
        <v>104</v>
      </c>
      <c r="AF9" s="3">
        <f t="shared" si="5"/>
        <v>0</v>
      </c>
      <c r="AG9" s="362">
        <v>4</v>
      </c>
    </row>
    <row r="10" spans="1:38" s="3" customFormat="1" ht="20.25" customHeight="1">
      <c r="A10" s="230">
        <v>6</v>
      </c>
      <c r="B10" s="106" t="s">
        <v>232</v>
      </c>
      <c r="C10" s="224" t="s">
        <v>106</v>
      </c>
      <c r="D10" s="224" t="s">
        <v>62</v>
      </c>
      <c r="E10" s="224">
        <f>30*5.2</f>
        <v>156</v>
      </c>
      <c r="F10" s="224">
        <f>E10/5.2</f>
        <v>30</v>
      </c>
      <c r="G10" s="224" t="s">
        <v>39</v>
      </c>
      <c r="H10" s="361" t="s">
        <v>36</v>
      </c>
      <c r="I10" s="229">
        <f>19*5.2</f>
        <v>98.8</v>
      </c>
      <c r="J10" s="224"/>
      <c r="K10" s="229">
        <f>5*5.2</f>
        <v>26</v>
      </c>
      <c r="L10" s="229">
        <f>6*5.2</f>
        <v>31.200000000000003</v>
      </c>
      <c r="M10" s="224"/>
      <c r="N10" s="224"/>
      <c r="O10" s="224"/>
      <c r="P10" s="224"/>
      <c r="Q10" s="224"/>
      <c r="R10" s="224"/>
      <c r="S10" s="224"/>
      <c r="T10" s="224"/>
      <c r="U10" s="224"/>
      <c r="V10" s="433"/>
      <c r="W10" s="224">
        <f t="shared" si="1"/>
        <v>11</v>
      </c>
      <c r="X10" s="224">
        <f t="shared" si="0"/>
        <v>57.2</v>
      </c>
      <c r="Y10" s="359">
        <f t="shared" si="1"/>
        <v>11</v>
      </c>
      <c r="Z10" s="359">
        <f t="shared" si="2"/>
        <v>57.2</v>
      </c>
      <c r="AA10" s="359">
        <f t="shared" si="3"/>
        <v>19</v>
      </c>
      <c r="AB10" s="359">
        <f>19*5.2</f>
        <v>98.8</v>
      </c>
      <c r="AC10" s="359">
        <f t="shared" si="4"/>
        <v>30</v>
      </c>
      <c r="AD10" s="436">
        <f t="shared" si="6"/>
        <v>156</v>
      </c>
      <c r="AF10" s="3">
        <f t="shared" si="5"/>
        <v>0</v>
      </c>
    </row>
    <row r="11" spans="1:38" s="3" customFormat="1" ht="20.25" customHeight="1">
      <c r="A11" s="230">
        <v>7</v>
      </c>
      <c r="B11" s="106" t="s">
        <v>314</v>
      </c>
      <c r="C11" s="224" t="s">
        <v>315</v>
      </c>
      <c r="D11" s="224" t="s">
        <v>62</v>
      </c>
      <c r="E11" s="224">
        <f>10*5.2</f>
        <v>52</v>
      </c>
      <c r="F11" s="224">
        <f>E11/5.2</f>
        <v>10</v>
      </c>
      <c r="G11" s="224" t="s">
        <v>39</v>
      </c>
      <c r="H11" s="361" t="s">
        <v>36</v>
      </c>
      <c r="I11" s="229">
        <f>10*5.2</f>
        <v>52</v>
      </c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433"/>
      <c r="W11" s="224">
        <f t="shared" si="1"/>
        <v>0</v>
      </c>
      <c r="X11" s="224">
        <f t="shared" si="0"/>
        <v>0</v>
      </c>
      <c r="Y11" s="359">
        <f t="shared" si="1"/>
        <v>0</v>
      </c>
      <c r="Z11" s="359">
        <f t="shared" si="2"/>
        <v>0</v>
      </c>
      <c r="AA11" s="359">
        <f t="shared" si="3"/>
        <v>10</v>
      </c>
      <c r="AB11" s="359">
        <f>10*5.2</f>
        <v>52</v>
      </c>
      <c r="AC11" s="359">
        <f t="shared" si="4"/>
        <v>10</v>
      </c>
      <c r="AD11" s="436">
        <f t="shared" si="6"/>
        <v>52</v>
      </c>
      <c r="AF11" s="3">
        <f t="shared" si="5"/>
        <v>0</v>
      </c>
    </row>
    <row r="12" spans="1:38" s="3" customFormat="1" ht="20.25" customHeight="1">
      <c r="A12" s="230">
        <v>8</v>
      </c>
      <c r="B12" s="106" t="s">
        <v>231</v>
      </c>
      <c r="C12" s="224" t="s">
        <v>50</v>
      </c>
      <c r="D12" s="224" t="s">
        <v>33</v>
      </c>
      <c r="E12" s="224">
        <f>12*5.2</f>
        <v>62.400000000000006</v>
      </c>
      <c r="F12" s="224">
        <f t="shared" si="7"/>
        <v>12</v>
      </c>
      <c r="G12" s="224" t="s">
        <v>39</v>
      </c>
      <c r="H12" s="361" t="s">
        <v>36</v>
      </c>
      <c r="I12" s="229"/>
      <c r="J12" s="229">
        <f>10*5.2</f>
        <v>52</v>
      </c>
      <c r="K12" s="224"/>
      <c r="L12" s="229">
        <f>2*5.2</f>
        <v>10.4</v>
      </c>
      <c r="M12" s="224"/>
      <c r="N12" s="224"/>
      <c r="O12" s="224"/>
      <c r="P12" s="224"/>
      <c r="Q12" s="224"/>
      <c r="R12" s="224"/>
      <c r="S12" s="224"/>
      <c r="T12" s="224"/>
      <c r="U12" s="224"/>
      <c r="V12" s="433"/>
      <c r="W12" s="224">
        <f t="shared" si="1"/>
        <v>12</v>
      </c>
      <c r="X12" s="224">
        <f t="shared" si="0"/>
        <v>62.4</v>
      </c>
      <c r="Y12" s="359">
        <f t="shared" si="1"/>
        <v>12</v>
      </c>
      <c r="Z12" s="359">
        <f t="shared" si="2"/>
        <v>62.4</v>
      </c>
      <c r="AA12" s="359">
        <f t="shared" si="3"/>
        <v>0</v>
      </c>
      <c r="AB12" s="359"/>
      <c r="AC12" s="359">
        <f t="shared" si="4"/>
        <v>12</v>
      </c>
      <c r="AD12" s="436">
        <f t="shared" si="6"/>
        <v>62.4</v>
      </c>
      <c r="AF12" s="3">
        <f t="shared" si="5"/>
        <v>0</v>
      </c>
      <c r="AG12" s="362">
        <v>2.4</v>
      </c>
    </row>
    <row r="13" spans="1:38" s="3" customFormat="1" ht="20.25" customHeight="1">
      <c r="A13" s="230">
        <v>9</v>
      </c>
      <c r="B13" s="106" t="s">
        <v>318</v>
      </c>
      <c r="C13" s="224" t="s">
        <v>208</v>
      </c>
      <c r="D13" s="224" t="s">
        <v>33</v>
      </c>
      <c r="E13" s="224">
        <f>10*5.2</f>
        <v>52</v>
      </c>
      <c r="F13" s="224">
        <f t="shared" si="7"/>
        <v>10</v>
      </c>
      <c r="G13" s="224" t="s">
        <v>39</v>
      </c>
      <c r="H13" s="361" t="s">
        <v>36</v>
      </c>
      <c r="I13" s="229">
        <f>10*5.2</f>
        <v>52</v>
      </c>
      <c r="J13" s="224"/>
      <c r="K13" s="224"/>
      <c r="L13" s="224"/>
      <c r="M13" s="224"/>
      <c r="N13" s="224"/>
      <c r="O13" s="224"/>
      <c r="P13" s="363"/>
      <c r="Q13" s="363"/>
      <c r="R13" s="363"/>
      <c r="S13" s="363"/>
      <c r="T13" s="224"/>
      <c r="U13" s="224"/>
      <c r="V13" s="433"/>
      <c r="W13" s="224">
        <f t="shared" si="1"/>
        <v>0</v>
      </c>
      <c r="X13" s="224">
        <f t="shared" si="0"/>
        <v>0</v>
      </c>
      <c r="Y13" s="359">
        <f t="shared" si="1"/>
        <v>0</v>
      </c>
      <c r="Z13" s="359">
        <f t="shared" si="2"/>
        <v>0</v>
      </c>
      <c r="AA13" s="359">
        <f t="shared" si="3"/>
        <v>10</v>
      </c>
      <c r="AB13" s="359">
        <f>10*5.2</f>
        <v>52</v>
      </c>
      <c r="AC13" s="359">
        <f t="shared" si="4"/>
        <v>10</v>
      </c>
      <c r="AD13" s="436">
        <f t="shared" si="6"/>
        <v>52</v>
      </c>
      <c r="AF13" s="3">
        <f t="shared" si="5"/>
        <v>0</v>
      </c>
    </row>
    <row r="14" spans="1:38" s="3" customFormat="1" ht="20.25" customHeight="1">
      <c r="A14" s="230">
        <v>10</v>
      </c>
      <c r="B14" s="106" t="s">
        <v>233</v>
      </c>
      <c r="C14" s="224" t="s">
        <v>95</v>
      </c>
      <c r="D14" s="224" t="s">
        <v>33</v>
      </c>
      <c r="E14" s="224">
        <f>30*5.2</f>
        <v>156</v>
      </c>
      <c r="F14" s="224">
        <f t="shared" si="7"/>
        <v>30</v>
      </c>
      <c r="G14" s="224" t="s">
        <v>59</v>
      </c>
      <c r="H14" s="361" t="s">
        <v>36</v>
      </c>
      <c r="I14" s="229"/>
      <c r="J14" s="224"/>
      <c r="K14" s="224"/>
      <c r="L14" s="229">
        <f>23*5.2</f>
        <v>119.60000000000001</v>
      </c>
      <c r="M14" s="229">
        <f>5*5.2</f>
        <v>26</v>
      </c>
      <c r="N14" s="364"/>
      <c r="O14" s="364"/>
      <c r="P14" s="438"/>
      <c r="Q14" s="365"/>
      <c r="R14" s="364"/>
      <c r="S14" s="364"/>
      <c r="T14" s="364"/>
      <c r="U14" s="364">
        <f>2*5.2</f>
        <v>10.4</v>
      </c>
      <c r="V14" s="439"/>
      <c r="W14" s="224">
        <f t="shared" si="1"/>
        <v>30.000000000000004</v>
      </c>
      <c r="X14" s="364">
        <f t="shared" si="0"/>
        <v>156.00000000000003</v>
      </c>
      <c r="Y14" s="359">
        <f t="shared" si="1"/>
        <v>28.000000000000004</v>
      </c>
      <c r="Z14" s="440">
        <f t="shared" si="2"/>
        <v>145.60000000000002</v>
      </c>
      <c r="AA14" s="359">
        <f t="shared" si="3"/>
        <v>0</v>
      </c>
      <c r="AB14" s="440"/>
      <c r="AC14" s="359">
        <f t="shared" si="4"/>
        <v>28.000000000000004</v>
      </c>
      <c r="AD14" s="436">
        <f t="shared" si="6"/>
        <v>145.60000000000002</v>
      </c>
      <c r="AF14" s="3">
        <f t="shared" si="5"/>
        <v>0</v>
      </c>
    </row>
    <row r="15" spans="1:38" s="3" customFormat="1" ht="20.25" customHeight="1">
      <c r="A15" s="230">
        <v>11</v>
      </c>
      <c r="B15" s="106" t="s">
        <v>231</v>
      </c>
      <c r="C15" s="224" t="s">
        <v>50</v>
      </c>
      <c r="D15" s="224" t="s">
        <v>33</v>
      </c>
      <c r="E15" s="224">
        <f>13*5.2</f>
        <v>67.600000000000009</v>
      </c>
      <c r="F15" s="224">
        <f>E15/5.2</f>
        <v>13.000000000000002</v>
      </c>
      <c r="G15" s="224" t="s">
        <v>75</v>
      </c>
      <c r="H15" s="361" t="s">
        <v>36</v>
      </c>
      <c r="I15" s="229"/>
      <c r="J15" s="224"/>
      <c r="K15" s="224"/>
      <c r="L15" s="224"/>
      <c r="M15" s="229"/>
      <c r="N15" s="364"/>
      <c r="O15" s="365">
        <f>6*5.2</f>
        <v>31.200000000000003</v>
      </c>
      <c r="P15" s="441"/>
      <c r="Q15" s="229">
        <f>6*5.2</f>
        <v>31.200000000000003</v>
      </c>
      <c r="R15" s="226"/>
      <c r="S15" s="226">
        <f>1*5.2</f>
        <v>5.2</v>
      </c>
      <c r="T15" s="224"/>
      <c r="U15" s="224"/>
      <c r="V15" s="433"/>
      <c r="W15" s="224">
        <f t="shared" si="1"/>
        <v>13.000000000000002</v>
      </c>
      <c r="X15" s="224">
        <f t="shared" si="0"/>
        <v>67.600000000000009</v>
      </c>
      <c r="Y15" s="359">
        <f t="shared" si="1"/>
        <v>12</v>
      </c>
      <c r="Z15" s="359">
        <f t="shared" si="2"/>
        <v>62.400000000000006</v>
      </c>
      <c r="AA15" s="359">
        <f t="shared" si="3"/>
        <v>0</v>
      </c>
      <c r="AB15" s="359"/>
      <c r="AC15" s="359">
        <f t="shared" si="4"/>
        <v>12</v>
      </c>
      <c r="AD15" s="436">
        <f t="shared" si="6"/>
        <v>62.400000000000006</v>
      </c>
      <c r="AF15" s="3">
        <f t="shared" si="5"/>
        <v>0</v>
      </c>
      <c r="AI15" s="28" t="s">
        <v>4</v>
      </c>
      <c r="AJ15" s="29" t="s">
        <v>319</v>
      </c>
      <c r="AK15" s="29" t="s">
        <v>320</v>
      </c>
      <c r="AL15" s="29" t="s">
        <v>313</v>
      </c>
    </row>
    <row r="16" spans="1:38" s="3" customFormat="1" ht="20.25" customHeight="1">
      <c r="A16" s="230">
        <v>12</v>
      </c>
      <c r="B16" s="106" t="s">
        <v>231</v>
      </c>
      <c r="C16" s="224" t="s">
        <v>208</v>
      </c>
      <c r="D16" s="224" t="s">
        <v>33</v>
      </c>
      <c r="E16" s="224">
        <f>25*5.2</f>
        <v>130</v>
      </c>
      <c r="F16" s="224">
        <f>E16/5.2</f>
        <v>25</v>
      </c>
      <c r="G16" s="224" t="s">
        <v>75</v>
      </c>
      <c r="H16" s="361" t="s">
        <v>36</v>
      </c>
      <c r="I16" s="229"/>
      <c r="J16" s="224"/>
      <c r="K16" s="224"/>
      <c r="L16" s="224"/>
      <c r="M16" s="229"/>
      <c r="N16" s="365">
        <f>24*5.2</f>
        <v>124.80000000000001</v>
      </c>
      <c r="O16" s="229"/>
      <c r="P16" s="226"/>
      <c r="Q16" s="229">
        <f>1*5.2</f>
        <v>5.2</v>
      </c>
      <c r="R16" s="441"/>
      <c r="S16" s="441"/>
      <c r="T16" s="224"/>
      <c r="U16" s="224"/>
      <c r="V16" s="433"/>
      <c r="W16" s="224">
        <f t="shared" si="1"/>
        <v>25</v>
      </c>
      <c r="X16" s="224">
        <f t="shared" si="0"/>
        <v>130</v>
      </c>
      <c r="Y16" s="359">
        <f t="shared" si="1"/>
        <v>25</v>
      </c>
      <c r="Z16" s="359">
        <f t="shared" si="2"/>
        <v>130</v>
      </c>
      <c r="AA16" s="359">
        <f t="shared" si="3"/>
        <v>0</v>
      </c>
      <c r="AB16" s="359"/>
      <c r="AC16" s="359">
        <f t="shared" si="4"/>
        <v>25</v>
      </c>
      <c r="AD16" s="436">
        <f t="shared" si="6"/>
        <v>130</v>
      </c>
      <c r="AF16" s="3">
        <f t="shared" si="5"/>
        <v>0</v>
      </c>
      <c r="AI16" s="442" t="s">
        <v>50</v>
      </c>
      <c r="AJ16" s="443" t="s">
        <v>75</v>
      </c>
      <c r="AK16" s="443">
        <v>7</v>
      </c>
      <c r="AL16" s="443">
        <f>AK16*5.2</f>
        <v>36.4</v>
      </c>
    </row>
    <row r="17" spans="1:38" s="3" customFormat="1" ht="20.25" customHeight="1">
      <c r="A17" s="367">
        <v>13</v>
      </c>
      <c r="B17" s="368" t="s">
        <v>234</v>
      </c>
      <c r="C17" s="363" t="s">
        <v>70</v>
      </c>
      <c r="D17" s="363" t="s">
        <v>33</v>
      </c>
      <c r="E17" s="363">
        <f>3*5.2</f>
        <v>15.600000000000001</v>
      </c>
      <c r="F17" s="363">
        <f t="shared" ref="F17" si="8">E17/5.2</f>
        <v>3</v>
      </c>
      <c r="G17" s="363" t="s">
        <v>75</v>
      </c>
      <c r="H17" s="369" t="s">
        <v>36</v>
      </c>
      <c r="I17" s="370"/>
      <c r="J17" s="363"/>
      <c r="K17" s="363"/>
      <c r="L17" s="363"/>
      <c r="M17" s="370">
        <f>3*5.2</f>
        <v>15.600000000000001</v>
      </c>
      <c r="N17" s="371"/>
      <c r="O17" s="372"/>
      <c r="P17" s="444"/>
      <c r="Q17" s="373"/>
      <c r="R17" s="444"/>
      <c r="S17" s="444"/>
      <c r="T17" s="363"/>
      <c r="U17" s="363"/>
      <c r="V17" s="433"/>
      <c r="W17" s="224">
        <f t="shared" si="1"/>
        <v>3</v>
      </c>
      <c r="X17" s="224">
        <f t="shared" si="0"/>
        <v>15.600000000000001</v>
      </c>
      <c r="Y17" s="359">
        <f t="shared" si="1"/>
        <v>3</v>
      </c>
      <c r="Z17" s="359">
        <f t="shared" si="2"/>
        <v>15.600000000000001</v>
      </c>
      <c r="AA17" s="359">
        <f t="shared" si="3"/>
        <v>0</v>
      </c>
      <c r="AB17" s="359"/>
      <c r="AC17" s="359">
        <f t="shared" si="4"/>
        <v>3</v>
      </c>
      <c r="AD17" s="436">
        <f t="shared" si="6"/>
        <v>15.600000000000001</v>
      </c>
      <c r="AF17" s="3">
        <f t="shared" si="5"/>
        <v>0</v>
      </c>
      <c r="AI17" s="445" t="s">
        <v>208</v>
      </c>
      <c r="AJ17" s="446" t="s">
        <v>75</v>
      </c>
      <c r="AK17" s="446">
        <v>1</v>
      </c>
      <c r="AL17" s="446">
        <f t="shared" ref="AL17:AL19" si="9">AK17*5.2</f>
        <v>5.2</v>
      </c>
    </row>
    <row r="18" spans="1:38" s="47" customFormat="1" ht="20.25" customHeight="1">
      <c r="A18" s="667" t="s">
        <v>321</v>
      </c>
      <c r="B18" s="668"/>
      <c r="C18" s="668"/>
      <c r="D18" s="668"/>
      <c r="E18" s="51">
        <f>SUM(E5:E17)</f>
        <v>1320.7999999999997</v>
      </c>
      <c r="F18" s="51"/>
      <c r="G18" s="51"/>
      <c r="H18" s="52"/>
      <c r="I18" s="92">
        <f t="shared" ref="I18:U18" si="10">SUM(I5:I17)</f>
        <v>780</v>
      </c>
      <c r="J18" s="92">
        <f t="shared" si="10"/>
        <v>104</v>
      </c>
      <c r="K18" s="92">
        <f t="shared" si="10"/>
        <v>26</v>
      </c>
      <c r="L18" s="92">
        <f t="shared" si="10"/>
        <v>161.20000000000002</v>
      </c>
      <c r="M18" s="92">
        <f t="shared" si="10"/>
        <v>41.6</v>
      </c>
      <c r="N18" s="92">
        <f t="shared" si="10"/>
        <v>124.80000000000001</v>
      </c>
      <c r="O18" s="92">
        <f t="shared" si="10"/>
        <v>31.200000000000003</v>
      </c>
      <c r="P18" s="50">
        <f t="shared" si="10"/>
        <v>0</v>
      </c>
      <c r="Q18" s="92">
        <f t="shared" si="10"/>
        <v>36.400000000000006</v>
      </c>
      <c r="R18" s="50">
        <f t="shared" si="10"/>
        <v>0</v>
      </c>
      <c r="S18" s="50">
        <f t="shared" si="10"/>
        <v>5.2</v>
      </c>
      <c r="T18" s="50">
        <f t="shared" si="10"/>
        <v>0</v>
      </c>
      <c r="U18" s="50">
        <f t="shared" si="10"/>
        <v>10.4</v>
      </c>
      <c r="V18" s="447"/>
      <c r="W18" s="448">
        <f>+X18/5.2</f>
        <v>104.00000000000001</v>
      </c>
      <c r="X18" s="449">
        <f t="shared" si="0"/>
        <v>540.80000000000007</v>
      </c>
      <c r="Y18" s="450">
        <f>+Z18/5.2</f>
        <v>101</v>
      </c>
      <c r="Z18" s="451">
        <f t="shared" si="2"/>
        <v>525.20000000000005</v>
      </c>
      <c r="AA18" s="450">
        <f>+AB18/5.2</f>
        <v>150</v>
      </c>
      <c r="AB18" s="451">
        <f t="shared" ref="AB18" si="11">SUM(AB5:AB17)</f>
        <v>780</v>
      </c>
      <c r="AC18" s="450">
        <f>+AD18/5.2</f>
        <v>251</v>
      </c>
      <c r="AD18" s="452">
        <f t="shared" si="6"/>
        <v>1305.2</v>
      </c>
      <c r="AI18" s="445" t="s">
        <v>80</v>
      </c>
      <c r="AJ18" s="446" t="s">
        <v>75</v>
      </c>
      <c r="AK18" s="446">
        <v>10</v>
      </c>
      <c r="AL18" s="446">
        <f t="shared" si="9"/>
        <v>52</v>
      </c>
    </row>
    <row r="19" spans="1:38" s="47" customFormat="1" ht="20.25" customHeight="1" thickBot="1">
      <c r="A19" s="675" t="s">
        <v>322</v>
      </c>
      <c r="B19" s="676"/>
      <c r="C19" s="676"/>
      <c r="D19" s="676"/>
      <c r="E19" s="374"/>
      <c r="F19" s="375">
        <f>SUM(F5:F17)</f>
        <v>254</v>
      </c>
      <c r="G19" s="374"/>
      <c r="H19" s="376"/>
      <c r="I19" s="377">
        <f>I18/5.2</f>
        <v>150</v>
      </c>
      <c r="J19" s="377">
        <f t="shared" ref="J19:K19" si="12">J18/5.2</f>
        <v>20</v>
      </c>
      <c r="K19" s="377">
        <f t="shared" si="12"/>
        <v>5</v>
      </c>
      <c r="L19" s="377">
        <f>L18/5.2</f>
        <v>31.000000000000004</v>
      </c>
      <c r="M19" s="377">
        <f>M18/5.2</f>
        <v>8</v>
      </c>
      <c r="N19" s="377">
        <f t="shared" ref="N19:U19" si="13">N18/5.2</f>
        <v>24</v>
      </c>
      <c r="O19" s="377">
        <f t="shared" si="13"/>
        <v>6</v>
      </c>
      <c r="P19" s="378">
        <f t="shared" si="13"/>
        <v>0</v>
      </c>
      <c r="Q19" s="377">
        <f t="shared" si="13"/>
        <v>7.0000000000000009</v>
      </c>
      <c r="R19" s="378">
        <f t="shared" si="13"/>
        <v>0</v>
      </c>
      <c r="S19" s="378">
        <f t="shared" si="13"/>
        <v>1</v>
      </c>
      <c r="T19" s="378">
        <f t="shared" si="13"/>
        <v>0</v>
      </c>
      <c r="U19" s="378">
        <f t="shared" si="13"/>
        <v>2</v>
      </c>
      <c r="V19" s="453"/>
      <c r="W19" s="664"/>
      <c r="X19" s="665"/>
      <c r="Y19" s="665"/>
      <c r="Z19" s="665"/>
      <c r="AA19" s="665"/>
      <c r="AB19" s="665"/>
      <c r="AC19" s="665"/>
      <c r="AD19" s="666"/>
      <c r="AI19" s="454" t="s">
        <v>323</v>
      </c>
      <c r="AJ19" s="455" t="s">
        <v>53</v>
      </c>
      <c r="AK19" s="455">
        <v>18</v>
      </c>
      <c r="AL19" s="455">
        <f t="shared" si="9"/>
        <v>93.600000000000009</v>
      </c>
    </row>
    <row r="20" spans="1:38" ht="18.75" customHeight="1" thickBot="1">
      <c r="A20" s="669"/>
      <c r="B20" s="670"/>
      <c r="C20" s="670"/>
      <c r="D20" s="670"/>
      <c r="E20" s="670"/>
      <c r="F20" s="670"/>
      <c r="G20" s="670"/>
      <c r="H20" s="670"/>
      <c r="I20" s="670"/>
      <c r="J20" s="670"/>
      <c r="K20" s="670"/>
      <c r="L20" s="670"/>
      <c r="M20" s="670"/>
      <c r="N20" s="670"/>
      <c r="O20" s="670"/>
      <c r="P20" s="670"/>
      <c r="Q20" s="670"/>
      <c r="R20" s="670"/>
      <c r="S20" s="670"/>
      <c r="T20" s="670"/>
      <c r="U20" s="670"/>
      <c r="V20" s="670"/>
      <c r="W20" s="670"/>
      <c r="X20" s="670"/>
      <c r="Y20" s="670"/>
      <c r="Z20" s="670"/>
      <c r="AA20" s="670"/>
      <c r="AB20" s="670"/>
      <c r="AC20" s="670"/>
      <c r="AD20" s="671"/>
      <c r="AI20" s="579" t="s">
        <v>64</v>
      </c>
      <c r="AJ20" s="579"/>
      <c r="AK20" s="29">
        <f>SUM(AK16:AK19)</f>
        <v>36</v>
      </c>
      <c r="AL20" s="29">
        <f>SUM(AL16:AL19)</f>
        <v>187.2</v>
      </c>
    </row>
    <row r="21" spans="1:38" ht="25.5" hidden="1" customHeight="1" thickBot="1">
      <c r="A21" s="303"/>
      <c r="H21" s="26" t="s">
        <v>7</v>
      </c>
      <c r="I21" s="41" t="s">
        <v>324</v>
      </c>
      <c r="J21" s="41"/>
      <c r="K21" s="41"/>
      <c r="L21" s="41"/>
      <c r="M21" s="41">
        <v>45839</v>
      </c>
      <c r="N21" s="41">
        <v>45870</v>
      </c>
      <c r="O21" s="41">
        <v>45901</v>
      </c>
      <c r="P21" s="41">
        <v>45931</v>
      </c>
      <c r="Q21" s="41">
        <v>45962</v>
      </c>
      <c r="R21" s="41">
        <v>45992</v>
      </c>
      <c r="S21" s="41">
        <v>46023</v>
      </c>
      <c r="T21" s="41">
        <v>46054</v>
      </c>
      <c r="U21" s="379">
        <v>46082</v>
      </c>
      <c r="V21" s="456"/>
      <c r="W21" s="380"/>
      <c r="X21" s="380"/>
      <c r="Y21" s="380"/>
      <c r="Z21" s="380"/>
      <c r="AA21" s="380"/>
      <c r="AB21" s="380"/>
      <c r="AC21" s="380"/>
      <c r="AD21" s="380"/>
    </row>
    <row r="22" spans="1:38" s="3" customFormat="1" ht="18.75" hidden="1" customHeight="1">
      <c r="A22" s="303"/>
      <c r="B22"/>
      <c r="C22" s="56"/>
      <c r="D22" s="95"/>
      <c r="H22" s="32" t="s">
        <v>33</v>
      </c>
      <c r="I22" s="4">
        <f t="shared" ref="I22:U25" si="14">SUMIF($D$5:$D$14,$H22,I$5:I$14)</f>
        <v>608.40000000000009</v>
      </c>
      <c r="J22" s="4"/>
      <c r="K22" s="4"/>
      <c r="L22" s="4"/>
      <c r="M22" s="4">
        <f>SUMIF($D$5:$D$17,$H22,M$5:M$17)</f>
        <v>41.6</v>
      </c>
      <c r="N22" s="4">
        <f t="shared" si="14"/>
        <v>0</v>
      </c>
      <c r="O22" s="4">
        <f t="shared" si="14"/>
        <v>0</v>
      </c>
      <c r="P22" s="4">
        <f t="shared" si="14"/>
        <v>0</v>
      </c>
      <c r="Q22" s="4">
        <f t="shared" si="14"/>
        <v>0</v>
      </c>
      <c r="R22" s="4">
        <f t="shared" si="14"/>
        <v>0</v>
      </c>
      <c r="S22" s="4">
        <f t="shared" si="14"/>
        <v>0</v>
      </c>
      <c r="T22" s="4">
        <f t="shared" si="14"/>
        <v>0</v>
      </c>
      <c r="U22" s="381">
        <f t="shared" si="14"/>
        <v>10.4</v>
      </c>
      <c r="V22" s="382"/>
      <c r="W22" s="382"/>
      <c r="X22" s="382"/>
      <c r="Y22" s="382"/>
      <c r="Z22" s="382"/>
      <c r="AA22" s="382"/>
      <c r="AB22" s="382"/>
      <c r="AC22" s="382"/>
      <c r="AD22" s="382"/>
    </row>
    <row r="23" spans="1:38" s="3" customFormat="1" ht="18.75" hidden="1" customHeight="1">
      <c r="A23" s="303"/>
      <c r="B23"/>
      <c r="C23" s="56"/>
      <c r="D23" s="95"/>
      <c r="H23" s="36" t="s">
        <v>44</v>
      </c>
      <c r="I23" s="5">
        <f t="shared" si="14"/>
        <v>0</v>
      </c>
      <c r="J23" s="5"/>
      <c r="K23" s="5"/>
      <c r="L23" s="5"/>
      <c r="M23" s="5">
        <f t="shared" si="14"/>
        <v>0</v>
      </c>
      <c r="N23" s="5">
        <f t="shared" si="14"/>
        <v>0</v>
      </c>
      <c r="O23" s="5">
        <f t="shared" si="14"/>
        <v>0</v>
      </c>
      <c r="P23" s="5">
        <f t="shared" si="14"/>
        <v>0</v>
      </c>
      <c r="Q23" s="5">
        <f t="shared" si="14"/>
        <v>0</v>
      </c>
      <c r="R23" s="5">
        <f t="shared" si="14"/>
        <v>0</v>
      </c>
      <c r="S23" s="5">
        <f t="shared" si="14"/>
        <v>0</v>
      </c>
      <c r="T23" s="5">
        <f t="shared" si="14"/>
        <v>0</v>
      </c>
      <c r="U23" s="383">
        <f t="shared" si="14"/>
        <v>0</v>
      </c>
      <c r="V23" s="382"/>
      <c r="W23" s="382"/>
      <c r="X23" s="382"/>
      <c r="Y23" s="382"/>
      <c r="Z23" s="382"/>
      <c r="AA23" s="382"/>
      <c r="AB23" s="382"/>
      <c r="AC23" s="382"/>
      <c r="AD23" s="382"/>
    </row>
    <row r="24" spans="1:38" s="3" customFormat="1" ht="18.75" hidden="1" customHeight="1">
      <c r="A24" s="303"/>
      <c r="B24"/>
      <c r="C24" s="56"/>
      <c r="D24" s="95"/>
      <c r="H24" s="36" t="s">
        <v>62</v>
      </c>
      <c r="I24" s="5">
        <f t="shared" si="14"/>
        <v>171.6</v>
      </c>
      <c r="J24" s="5"/>
      <c r="K24" s="5"/>
      <c r="L24" s="5"/>
      <c r="M24" s="5">
        <f t="shared" si="14"/>
        <v>0</v>
      </c>
      <c r="N24" s="5">
        <f t="shared" si="14"/>
        <v>0</v>
      </c>
      <c r="O24" s="5">
        <f t="shared" si="14"/>
        <v>0</v>
      </c>
      <c r="P24" s="5">
        <f t="shared" si="14"/>
        <v>0</v>
      </c>
      <c r="Q24" s="5">
        <f t="shared" si="14"/>
        <v>0</v>
      </c>
      <c r="R24" s="5">
        <f t="shared" si="14"/>
        <v>0</v>
      </c>
      <c r="S24" s="5">
        <f t="shared" si="14"/>
        <v>0</v>
      </c>
      <c r="T24" s="5">
        <f t="shared" si="14"/>
        <v>0</v>
      </c>
      <c r="U24" s="383">
        <f t="shared" si="14"/>
        <v>0</v>
      </c>
      <c r="V24" s="382"/>
      <c r="W24" s="382"/>
      <c r="X24" s="382"/>
      <c r="Y24" s="382"/>
      <c r="Z24" s="382"/>
      <c r="AA24" s="382"/>
      <c r="AB24" s="382"/>
      <c r="AC24" s="382"/>
      <c r="AD24" s="382"/>
    </row>
    <row r="25" spans="1:38" s="3" customFormat="1" ht="18.75" hidden="1" customHeight="1">
      <c r="A25" s="303"/>
      <c r="B25"/>
      <c r="C25" s="56"/>
      <c r="D25" s="95"/>
      <c r="H25" s="37" t="s">
        <v>63</v>
      </c>
      <c r="I25" s="10">
        <f t="shared" si="14"/>
        <v>0</v>
      </c>
      <c r="J25" s="10"/>
      <c r="K25" s="10"/>
      <c r="L25" s="10"/>
      <c r="M25" s="10">
        <f t="shared" si="14"/>
        <v>0</v>
      </c>
      <c r="N25" s="10">
        <f t="shared" si="14"/>
        <v>0</v>
      </c>
      <c r="O25" s="10">
        <f t="shared" si="14"/>
        <v>0</v>
      </c>
      <c r="P25" s="10">
        <f t="shared" si="14"/>
        <v>0</v>
      </c>
      <c r="Q25" s="10">
        <f t="shared" si="14"/>
        <v>0</v>
      </c>
      <c r="R25" s="384">
        <f t="shared" si="14"/>
        <v>0</v>
      </c>
      <c r="S25" s="384">
        <f t="shared" si="14"/>
        <v>0</v>
      </c>
      <c r="T25" s="10">
        <f t="shared" si="14"/>
        <v>0</v>
      </c>
      <c r="U25" s="385">
        <f t="shared" si="14"/>
        <v>0</v>
      </c>
      <c r="V25" s="382"/>
      <c r="W25" s="382"/>
      <c r="X25" s="382"/>
      <c r="Y25" s="382"/>
      <c r="Z25" s="382"/>
      <c r="AA25" s="382"/>
      <c r="AB25" s="382"/>
      <c r="AC25" s="382"/>
      <c r="AD25" s="382"/>
    </row>
    <row r="26" spans="1:38" s="3" customFormat="1" ht="18.75" hidden="1" customHeight="1">
      <c r="A26" s="303"/>
      <c r="B26"/>
      <c r="C26" s="56"/>
      <c r="D26" s="95"/>
      <c r="H26" s="28" t="s">
        <v>64</v>
      </c>
      <c r="I26" s="31">
        <f t="shared" ref="I26:U26" si="15">SUM(I22:I25)</f>
        <v>780.00000000000011</v>
      </c>
      <c r="J26" s="114"/>
      <c r="K26" s="114"/>
      <c r="L26" s="114"/>
      <c r="M26" s="114">
        <f t="shared" si="15"/>
        <v>41.6</v>
      </c>
      <c r="N26" s="114">
        <f t="shared" si="15"/>
        <v>0</v>
      </c>
      <c r="O26" s="114">
        <f t="shared" si="15"/>
        <v>0</v>
      </c>
      <c r="P26" s="114">
        <f t="shared" si="15"/>
        <v>0</v>
      </c>
      <c r="Q26" s="114">
        <f t="shared" si="15"/>
        <v>0</v>
      </c>
      <c r="R26" s="114">
        <f t="shared" si="15"/>
        <v>0</v>
      </c>
      <c r="S26" s="114">
        <f t="shared" si="15"/>
        <v>0</v>
      </c>
      <c r="T26" s="114">
        <f t="shared" si="15"/>
        <v>0</v>
      </c>
      <c r="U26" s="457">
        <f t="shared" si="15"/>
        <v>10.4</v>
      </c>
      <c r="V26" s="458"/>
      <c r="W26" s="458"/>
      <c r="X26" s="458"/>
      <c r="Y26" s="458"/>
      <c r="Z26" s="458"/>
      <c r="AA26" s="458"/>
      <c r="AB26" s="458"/>
      <c r="AC26" s="458"/>
      <c r="AD26" s="458"/>
    </row>
    <row r="27" spans="1:38" ht="12.75" hidden="1" customHeight="1">
      <c r="A27" s="303"/>
      <c r="H27" s="63"/>
      <c r="I27" s="64">
        <f>I18/5.2-54</f>
        <v>96</v>
      </c>
      <c r="J27" s="6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G27" s="386"/>
    </row>
    <row r="28" spans="1:38" ht="21" customHeight="1">
      <c r="A28" s="672" t="s">
        <v>325</v>
      </c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3"/>
      <c r="P28" s="673"/>
      <c r="Q28" s="673"/>
      <c r="R28" s="673"/>
      <c r="S28" s="673"/>
      <c r="T28" s="673"/>
      <c r="U28" s="673"/>
      <c r="V28" s="673"/>
      <c r="W28" s="673"/>
      <c r="X28" s="673"/>
      <c r="Y28" s="673"/>
      <c r="Z28" s="673"/>
      <c r="AA28" s="673"/>
      <c r="AB28" s="673"/>
      <c r="AC28" s="673"/>
      <c r="AD28" s="674"/>
    </row>
    <row r="29" spans="1:38" ht="34.5" customHeight="1">
      <c r="A29" s="655" t="s">
        <v>228</v>
      </c>
      <c r="B29" s="657" t="s">
        <v>3</v>
      </c>
      <c r="C29" s="657" t="s">
        <v>4</v>
      </c>
      <c r="D29" s="657" t="s">
        <v>7</v>
      </c>
      <c r="E29" s="657" t="s">
        <v>306</v>
      </c>
      <c r="F29" s="657" t="s">
        <v>307</v>
      </c>
      <c r="G29" s="657" t="s">
        <v>14</v>
      </c>
      <c r="H29" s="360" t="s">
        <v>15</v>
      </c>
      <c r="I29" s="426" t="s">
        <v>308</v>
      </c>
      <c r="J29" s="662">
        <v>45748</v>
      </c>
      <c r="K29" s="662">
        <v>45778</v>
      </c>
      <c r="L29" s="662">
        <v>45809</v>
      </c>
      <c r="M29" s="662">
        <v>45839</v>
      </c>
      <c r="N29" s="662">
        <v>45870</v>
      </c>
      <c r="O29" s="662">
        <v>45901</v>
      </c>
      <c r="P29" s="662">
        <v>45931</v>
      </c>
      <c r="Q29" s="662">
        <v>45962</v>
      </c>
      <c r="R29" s="662">
        <v>45992</v>
      </c>
      <c r="S29" s="662">
        <v>46023</v>
      </c>
      <c r="T29" s="662">
        <v>46054</v>
      </c>
      <c r="U29" s="662">
        <v>46082</v>
      </c>
      <c r="V29" s="427"/>
      <c r="W29" s="659" t="s">
        <v>309</v>
      </c>
      <c r="X29" s="660"/>
      <c r="Y29" s="659" t="s">
        <v>310</v>
      </c>
      <c r="Z29" s="660"/>
      <c r="AA29" s="659" t="s">
        <v>311</v>
      </c>
      <c r="AB29" s="660"/>
      <c r="AC29" s="659" t="s">
        <v>312</v>
      </c>
      <c r="AD29" s="661"/>
    </row>
    <row r="30" spans="1:38" ht="22.5" customHeight="1">
      <c r="A30" s="656"/>
      <c r="B30" s="658"/>
      <c r="C30" s="658"/>
      <c r="D30" s="658"/>
      <c r="E30" s="658"/>
      <c r="F30" s="658"/>
      <c r="G30" s="658"/>
      <c r="H30" s="428"/>
      <c r="I30" s="429"/>
      <c r="J30" s="663"/>
      <c r="K30" s="663"/>
      <c r="L30" s="663"/>
      <c r="M30" s="663"/>
      <c r="N30" s="663"/>
      <c r="O30" s="663"/>
      <c r="P30" s="663"/>
      <c r="Q30" s="663"/>
      <c r="R30" s="663"/>
      <c r="S30" s="663"/>
      <c r="T30" s="663"/>
      <c r="U30" s="663"/>
      <c r="V30" s="430"/>
      <c r="W30" s="431" t="s">
        <v>241</v>
      </c>
      <c r="X30" s="431" t="s">
        <v>313</v>
      </c>
      <c r="Y30" s="431" t="s">
        <v>241</v>
      </c>
      <c r="Z30" s="431" t="s">
        <v>313</v>
      </c>
      <c r="AA30" s="431" t="s">
        <v>241</v>
      </c>
      <c r="AB30" s="431" t="s">
        <v>313</v>
      </c>
      <c r="AC30" s="431" t="s">
        <v>241</v>
      </c>
      <c r="AD30" s="432" t="s">
        <v>313</v>
      </c>
    </row>
    <row r="31" spans="1:38" s="3" customFormat="1" ht="20.25" customHeight="1">
      <c r="A31" s="230">
        <v>1</v>
      </c>
      <c r="B31" s="106" t="s">
        <v>234</v>
      </c>
      <c r="C31" s="224" t="s">
        <v>70</v>
      </c>
      <c r="D31" s="228" t="s">
        <v>33</v>
      </c>
      <c r="E31" s="228">
        <f>5*5.2</f>
        <v>26</v>
      </c>
      <c r="F31" s="228">
        <f t="shared" ref="F31:F38" si="16">E31/5.2</f>
        <v>5</v>
      </c>
      <c r="G31" s="224" t="s">
        <v>75</v>
      </c>
      <c r="H31" s="361" t="str">
        <f>H16</f>
        <v>Charged</v>
      </c>
      <c r="I31" s="228"/>
      <c r="J31" s="228"/>
      <c r="K31" s="228"/>
      <c r="L31" s="228"/>
      <c r="M31" s="387">
        <f>5*5.2</f>
        <v>26</v>
      </c>
      <c r="N31" s="459"/>
      <c r="O31" s="460"/>
      <c r="P31" s="441"/>
      <c r="Q31" s="441"/>
      <c r="R31" s="461" t="s">
        <v>326</v>
      </c>
      <c r="S31" s="441"/>
      <c r="T31" s="441"/>
      <c r="U31" s="366"/>
      <c r="V31" s="462"/>
      <c r="W31" s="242">
        <f t="shared" ref="W31:W39" si="17">+X31/5.2</f>
        <v>5</v>
      </c>
      <c r="X31" s="463">
        <f t="shared" ref="X31:X39" si="18">+SUM(J31:U31)</f>
        <v>26</v>
      </c>
      <c r="Y31" s="434">
        <f t="shared" ref="Y31:Y39" si="19">+Z31/5.2</f>
        <v>5</v>
      </c>
      <c r="Z31" s="464">
        <f t="shared" ref="Z31:Z39" si="20">+SUM(J31:Q31)</f>
        <v>26</v>
      </c>
      <c r="AA31" s="465" t="s">
        <v>289</v>
      </c>
      <c r="AB31" s="466" t="s">
        <v>289</v>
      </c>
      <c r="AC31" s="434">
        <f t="shared" ref="AC31:AC39" si="21">+AD31/5.2</f>
        <v>5</v>
      </c>
      <c r="AD31" s="467">
        <f>+Z31</f>
        <v>26</v>
      </c>
      <c r="AE31" s="3">
        <f t="shared" ref="AE31:AE37" si="22">SUM(I31:AD31)/5.2</f>
        <v>22.884615384615383</v>
      </c>
      <c r="AF31" s="3">
        <f t="shared" ref="AF31:AF38" si="23">AE31-F31</f>
        <v>17.884615384615383</v>
      </c>
    </row>
    <row r="32" spans="1:38" s="3" customFormat="1" ht="20.25" customHeight="1">
      <c r="A32" s="230">
        <v>2</v>
      </c>
      <c r="B32" s="106" t="s">
        <v>233</v>
      </c>
      <c r="C32" s="224" t="s">
        <v>80</v>
      </c>
      <c r="D32" s="224" t="s">
        <v>33</v>
      </c>
      <c r="E32" s="228">
        <f>12*5.2</f>
        <v>62.400000000000006</v>
      </c>
      <c r="F32" s="228">
        <f>E32/5.2</f>
        <v>12</v>
      </c>
      <c r="G32" s="224" t="s">
        <v>75</v>
      </c>
      <c r="H32" s="361" t="str">
        <f>H31</f>
        <v>Charged</v>
      </c>
      <c r="I32" s="228"/>
      <c r="J32" s="228"/>
      <c r="K32" s="228"/>
      <c r="L32" s="228"/>
      <c r="M32" s="387"/>
      <c r="N32" s="459"/>
      <c r="O32" s="468"/>
      <c r="P32" s="257"/>
      <c r="Q32" s="257"/>
      <c r="R32" s="257">
        <f>4*5.2</f>
        <v>20.8</v>
      </c>
      <c r="S32" s="257">
        <f>3*5.2</f>
        <v>15.600000000000001</v>
      </c>
      <c r="T32" s="257">
        <f>5*5.2</f>
        <v>26</v>
      </c>
      <c r="U32" s="257"/>
      <c r="V32" s="469"/>
      <c r="W32" s="224">
        <f t="shared" si="17"/>
        <v>12</v>
      </c>
      <c r="X32" s="226">
        <f t="shared" si="18"/>
        <v>62.400000000000006</v>
      </c>
      <c r="Y32" s="359">
        <f t="shared" si="19"/>
        <v>0</v>
      </c>
      <c r="Z32" s="359">
        <f t="shared" si="20"/>
        <v>0</v>
      </c>
      <c r="AA32" s="470" t="s">
        <v>289</v>
      </c>
      <c r="AB32" s="470" t="s">
        <v>289</v>
      </c>
      <c r="AC32" s="359">
        <f t="shared" si="21"/>
        <v>0</v>
      </c>
      <c r="AD32" s="471">
        <f t="shared" ref="AD32:AD38" si="24">+Z32</f>
        <v>0</v>
      </c>
      <c r="AE32" s="3">
        <f t="shared" si="22"/>
        <v>26.30769230769231</v>
      </c>
      <c r="AF32" s="3">
        <f t="shared" si="23"/>
        <v>14.30769230769231</v>
      </c>
    </row>
    <row r="33" spans="1:32" s="3" customFormat="1" ht="20.25" customHeight="1">
      <c r="A33" s="307">
        <v>3</v>
      </c>
      <c r="B33" s="227" t="s">
        <v>231</v>
      </c>
      <c r="C33" s="228" t="s">
        <v>186</v>
      </c>
      <c r="D33" s="228" t="s">
        <v>33</v>
      </c>
      <c r="E33" s="228">
        <f>2*5.2</f>
        <v>10.4</v>
      </c>
      <c r="F33" s="228">
        <v>2</v>
      </c>
      <c r="G33" s="228" t="s">
        <v>35</v>
      </c>
      <c r="H33" s="390" t="s">
        <v>36</v>
      </c>
      <c r="I33" s="228"/>
      <c r="J33" s="228"/>
      <c r="K33" s="228"/>
      <c r="L33" s="228"/>
      <c r="M33" s="387"/>
      <c r="N33" s="459"/>
      <c r="O33" s="472"/>
      <c r="P33" s="257"/>
      <c r="Q33" s="257"/>
      <c r="R33" s="257">
        <f>1*5.2</f>
        <v>5.2</v>
      </c>
      <c r="S33" s="257">
        <f>1*5.2</f>
        <v>5.2</v>
      </c>
      <c r="T33" s="459"/>
      <c r="U33" s="388"/>
      <c r="V33" s="462"/>
      <c r="W33" s="224">
        <f t="shared" si="17"/>
        <v>2</v>
      </c>
      <c r="X33" s="366">
        <f t="shared" si="18"/>
        <v>10.4</v>
      </c>
      <c r="Y33" s="359">
        <f t="shared" si="19"/>
        <v>0</v>
      </c>
      <c r="Z33" s="440">
        <f t="shared" si="20"/>
        <v>0</v>
      </c>
      <c r="AA33" s="470" t="s">
        <v>289</v>
      </c>
      <c r="AB33" s="473" t="s">
        <v>289</v>
      </c>
      <c r="AC33" s="359">
        <f t="shared" si="21"/>
        <v>0</v>
      </c>
      <c r="AD33" s="471">
        <f t="shared" si="24"/>
        <v>0</v>
      </c>
      <c r="AE33" s="3">
        <f t="shared" si="22"/>
        <v>4.384615384615385</v>
      </c>
      <c r="AF33" s="3">
        <f t="shared" si="23"/>
        <v>2.384615384615385</v>
      </c>
    </row>
    <row r="34" spans="1:32" s="3" customFormat="1" ht="20.25" customHeight="1">
      <c r="A34" s="307">
        <v>4</v>
      </c>
      <c r="B34" s="227" t="s">
        <v>235</v>
      </c>
      <c r="C34" s="228" t="s">
        <v>50</v>
      </c>
      <c r="D34" s="228" t="s">
        <v>44</v>
      </c>
      <c r="E34" s="228">
        <f>39*5.2</f>
        <v>202.8</v>
      </c>
      <c r="F34" s="228">
        <f t="shared" si="16"/>
        <v>39</v>
      </c>
      <c r="G34" s="228" t="s">
        <v>53</v>
      </c>
      <c r="H34" s="389" t="s">
        <v>36</v>
      </c>
      <c r="I34" s="228"/>
      <c r="J34" s="228"/>
      <c r="K34" s="228"/>
      <c r="L34" s="228"/>
      <c r="M34" s="387"/>
      <c r="N34" s="459"/>
      <c r="O34" s="459"/>
      <c r="P34" s="387">
        <f>15*5.2</f>
        <v>78</v>
      </c>
      <c r="Q34" s="387">
        <f>16*5.2</f>
        <v>83.2</v>
      </c>
      <c r="R34" s="459">
        <f>4*5.2</f>
        <v>20.8</v>
      </c>
      <c r="S34" s="459"/>
      <c r="T34" s="459"/>
      <c r="U34" s="459">
        <f>4*5.2</f>
        <v>20.8</v>
      </c>
      <c r="V34" s="474"/>
      <c r="W34" s="224">
        <f t="shared" si="17"/>
        <v>39</v>
      </c>
      <c r="X34" s="441">
        <f t="shared" si="18"/>
        <v>202.8</v>
      </c>
      <c r="Y34" s="359">
        <f t="shared" si="19"/>
        <v>30.999999999999996</v>
      </c>
      <c r="Z34" s="440">
        <f t="shared" si="20"/>
        <v>161.19999999999999</v>
      </c>
      <c r="AA34" s="470" t="s">
        <v>289</v>
      </c>
      <c r="AB34" s="473" t="s">
        <v>289</v>
      </c>
      <c r="AC34" s="359">
        <f t="shared" si="21"/>
        <v>30.999999999999996</v>
      </c>
      <c r="AD34" s="471">
        <f t="shared" si="24"/>
        <v>161.19999999999999</v>
      </c>
      <c r="AE34" s="3">
        <f t="shared" si="22"/>
        <v>159.42307692307691</v>
      </c>
      <c r="AF34" s="3">
        <f t="shared" si="23"/>
        <v>120.42307692307691</v>
      </c>
    </row>
    <row r="35" spans="1:32" s="3" customFormat="1" ht="20.25" customHeight="1">
      <c r="A35" s="307">
        <v>5</v>
      </c>
      <c r="B35" s="106" t="s">
        <v>231</v>
      </c>
      <c r="C35" s="224" t="s">
        <v>111</v>
      </c>
      <c r="D35" s="228" t="s">
        <v>33</v>
      </c>
      <c r="E35" s="228">
        <f>36*5.2</f>
        <v>187.20000000000002</v>
      </c>
      <c r="F35" s="228">
        <f t="shared" si="16"/>
        <v>36</v>
      </c>
      <c r="G35" s="224" t="s">
        <v>136</v>
      </c>
      <c r="H35" s="361">
        <f>'[1]FY 24-26 Khavda Solar '!M31</f>
        <v>45900</v>
      </c>
      <c r="I35" s="224"/>
      <c r="J35" s="224"/>
      <c r="K35" s="224"/>
      <c r="L35" s="228"/>
      <c r="M35" s="459"/>
      <c r="N35" s="441"/>
      <c r="O35" s="460"/>
      <c r="P35" s="441"/>
      <c r="Q35" s="387"/>
      <c r="R35" s="459">
        <f>20*5.2</f>
        <v>104</v>
      </c>
      <c r="S35" s="459">
        <f>15*5.2</f>
        <v>78</v>
      </c>
      <c r="T35" s="459">
        <f>1*5.2</f>
        <v>5.2</v>
      </c>
      <c r="U35" s="388"/>
      <c r="V35" s="462"/>
      <c r="W35" s="224">
        <f t="shared" si="17"/>
        <v>36</v>
      </c>
      <c r="X35" s="366">
        <f t="shared" si="18"/>
        <v>187.2</v>
      </c>
      <c r="Y35" s="359">
        <f t="shared" si="19"/>
        <v>0</v>
      </c>
      <c r="Z35" s="440">
        <f t="shared" si="20"/>
        <v>0</v>
      </c>
      <c r="AA35" s="470" t="s">
        <v>289</v>
      </c>
      <c r="AB35" s="473" t="s">
        <v>289</v>
      </c>
      <c r="AC35" s="359">
        <f t="shared" si="21"/>
        <v>0</v>
      </c>
      <c r="AD35" s="471">
        <f t="shared" si="24"/>
        <v>0</v>
      </c>
      <c r="AE35" s="3">
        <f t="shared" si="22"/>
        <v>78.92307692307692</v>
      </c>
      <c r="AF35" s="3">
        <f t="shared" si="23"/>
        <v>42.92307692307692</v>
      </c>
    </row>
    <row r="36" spans="1:32" s="3" customFormat="1" ht="20.25" customHeight="1">
      <c r="A36" s="230">
        <v>6</v>
      </c>
      <c r="B36" s="106" t="s">
        <v>231</v>
      </c>
      <c r="C36" s="224" t="s">
        <v>116</v>
      </c>
      <c r="D36" s="228" t="s">
        <v>33</v>
      </c>
      <c r="E36" s="228">
        <f>27*5.2</f>
        <v>140.4</v>
      </c>
      <c r="F36" s="228">
        <f t="shared" si="16"/>
        <v>27</v>
      </c>
      <c r="G36" s="224" t="s">
        <v>157</v>
      </c>
      <c r="H36" s="391">
        <v>45900</v>
      </c>
      <c r="I36" s="224"/>
      <c r="J36" s="224"/>
      <c r="K36" s="224"/>
      <c r="L36" s="224"/>
      <c r="M36" s="459"/>
      <c r="N36" s="459"/>
      <c r="O36" s="460"/>
      <c r="P36" s="441"/>
      <c r="Q36" s="365"/>
      <c r="R36" s="459"/>
      <c r="S36" s="459">
        <f>19*5.2</f>
        <v>98.8</v>
      </c>
      <c r="T36" s="459">
        <f>8*5.2</f>
        <v>41.6</v>
      </c>
      <c r="U36" s="459"/>
      <c r="V36" s="474"/>
      <c r="W36" s="224">
        <f t="shared" si="17"/>
        <v>27</v>
      </c>
      <c r="X36" s="441">
        <f t="shared" si="18"/>
        <v>140.4</v>
      </c>
      <c r="Y36" s="359">
        <f t="shared" si="19"/>
        <v>0</v>
      </c>
      <c r="Z36" s="440">
        <f t="shared" si="20"/>
        <v>0</v>
      </c>
      <c r="AA36" s="470" t="s">
        <v>289</v>
      </c>
      <c r="AB36" s="473" t="s">
        <v>289</v>
      </c>
      <c r="AC36" s="359">
        <f t="shared" si="21"/>
        <v>0</v>
      </c>
      <c r="AD36" s="471">
        <f t="shared" si="24"/>
        <v>0</v>
      </c>
      <c r="AE36" s="3">
        <f t="shared" si="22"/>
        <v>59.192307692307693</v>
      </c>
      <c r="AF36" s="3">
        <f t="shared" si="23"/>
        <v>32.192307692307693</v>
      </c>
    </row>
    <row r="37" spans="1:32" s="3" customFormat="1" ht="20.25" customHeight="1">
      <c r="A37" s="307">
        <v>8</v>
      </c>
      <c r="B37" s="106" t="s">
        <v>231</v>
      </c>
      <c r="C37" s="224" t="s">
        <v>111</v>
      </c>
      <c r="D37" s="228" t="s">
        <v>33</v>
      </c>
      <c r="E37" s="228">
        <f>13*5.2</f>
        <v>67.600000000000009</v>
      </c>
      <c r="F37" s="228">
        <f t="shared" si="16"/>
        <v>13.000000000000002</v>
      </c>
      <c r="G37" s="224" t="s">
        <v>159</v>
      </c>
      <c r="H37" s="392">
        <v>45991</v>
      </c>
      <c r="I37" s="224"/>
      <c r="J37" s="224"/>
      <c r="K37" s="228"/>
      <c r="L37" s="228"/>
      <c r="M37" s="441"/>
      <c r="N37" s="441"/>
      <c r="O37" s="460"/>
      <c r="P37" s="441"/>
      <c r="Q37" s="365"/>
      <c r="R37" s="475"/>
      <c r="S37" s="476"/>
      <c r="T37" s="476">
        <f>5*5.2</f>
        <v>26</v>
      </c>
      <c r="U37" s="459">
        <f>8*5.2</f>
        <v>41.6</v>
      </c>
      <c r="V37" s="474"/>
      <c r="W37" s="224">
        <f t="shared" si="17"/>
        <v>12.999999999999998</v>
      </c>
      <c r="X37" s="441">
        <f t="shared" si="18"/>
        <v>67.599999999999994</v>
      </c>
      <c r="Y37" s="359">
        <f t="shared" si="19"/>
        <v>0</v>
      </c>
      <c r="Z37" s="440">
        <f t="shared" si="20"/>
        <v>0</v>
      </c>
      <c r="AA37" s="470" t="s">
        <v>289</v>
      </c>
      <c r="AB37" s="473" t="s">
        <v>289</v>
      </c>
      <c r="AC37" s="359">
        <f t="shared" si="21"/>
        <v>0</v>
      </c>
      <c r="AD37" s="471">
        <f t="shared" si="24"/>
        <v>0</v>
      </c>
      <c r="AE37" s="3">
        <f t="shared" si="22"/>
        <v>28.499999999999996</v>
      </c>
      <c r="AF37" s="3">
        <f t="shared" si="23"/>
        <v>15.499999999999995</v>
      </c>
    </row>
    <row r="38" spans="1:32" s="3" customFormat="1" ht="20.25" customHeight="1">
      <c r="A38" s="367">
        <v>9</v>
      </c>
      <c r="B38" s="368" t="s">
        <v>231</v>
      </c>
      <c r="C38" s="363" t="s">
        <v>116</v>
      </c>
      <c r="D38" s="393" t="s">
        <v>33</v>
      </c>
      <c r="E38" s="393">
        <f>60*5.2</f>
        <v>312</v>
      </c>
      <c r="F38" s="393">
        <f t="shared" si="16"/>
        <v>60</v>
      </c>
      <c r="G38" s="363" t="s">
        <v>159</v>
      </c>
      <c r="H38" s="394">
        <v>45991</v>
      </c>
      <c r="I38" s="363"/>
      <c r="J38" s="363"/>
      <c r="K38" s="363"/>
      <c r="L38" s="363"/>
      <c r="M38" s="363"/>
      <c r="N38" s="363"/>
      <c r="O38" s="363"/>
      <c r="P38" s="477"/>
      <c r="Q38" s="372"/>
      <c r="R38" s="478"/>
      <c r="S38" s="479">
        <f>4*5.2</f>
        <v>20.8</v>
      </c>
      <c r="T38" s="479">
        <f>24*5.2</f>
        <v>124.80000000000001</v>
      </c>
      <c r="U38" s="479">
        <f>32*5.2</f>
        <v>166.4</v>
      </c>
      <c r="V38" s="474"/>
      <c r="W38" s="224">
        <f t="shared" si="17"/>
        <v>60</v>
      </c>
      <c r="X38" s="441">
        <f t="shared" si="18"/>
        <v>312</v>
      </c>
      <c r="Y38" s="359">
        <f t="shared" si="19"/>
        <v>0</v>
      </c>
      <c r="Z38" s="440">
        <f t="shared" si="20"/>
        <v>0</v>
      </c>
      <c r="AA38" s="470" t="s">
        <v>289</v>
      </c>
      <c r="AB38" s="473" t="s">
        <v>289</v>
      </c>
      <c r="AC38" s="359">
        <f t="shared" si="21"/>
        <v>0</v>
      </c>
      <c r="AD38" s="471">
        <f t="shared" si="24"/>
        <v>0</v>
      </c>
      <c r="AE38" s="3">
        <f>SUM(I38:AD38)/5.2</f>
        <v>131.53846153846155</v>
      </c>
      <c r="AF38" s="3">
        <f t="shared" si="23"/>
        <v>71.538461538461547</v>
      </c>
    </row>
    <row r="39" spans="1:32" s="11" customFormat="1" ht="17.25" customHeight="1">
      <c r="A39" s="677" t="s">
        <v>327</v>
      </c>
      <c r="B39" s="678"/>
      <c r="C39" s="678"/>
      <c r="D39" s="678"/>
      <c r="E39" s="395">
        <f>SUM(E25:E38)</f>
        <v>1008.8000000000001</v>
      </c>
      <c r="F39" s="395"/>
      <c r="G39" s="395"/>
      <c r="H39" s="480"/>
      <c r="I39" s="396">
        <f t="shared" ref="I39:U39" si="25">SUM(I31:I38)</f>
        <v>0</v>
      </c>
      <c r="J39" s="396">
        <f t="shared" si="25"/>
        <v>0</v>
      </c>
      <c r="K39" s="396">
        <f t="shared" si="25"/>
        <v>0</v>
      </c>
      <c r="L39" s="396">
        <f t="shared" si="25"/>
        <v>0</v>
      </c>
      <c r="M39" s="396">
        <f t="shared" si="25"/>
        <v>26</v>
      </c>
      <c r="N39" s="396">
        <f t="shared" si="25"/>
        <v>0</v>
      </c>
      <c r="O39" s="397">
        <f t="shared" si="25"/>
        <v>0</v>
      </c>
      <c r="P39" s="396">
        <f t="shared" si="25"/>
        <v>78</v>
      </c>
      <c r="Q39" s="396">
        <f t="shared" si="25"/>
        <v>83.2</v>
      </c>
      <c r="R39" s="395">
        <f t="shared" si="25"/>
        <v>150.80000000000001</v>
      </c>
      <c r="S39" s="395">
        <f t="shared" si="25"/>
        <v>218.4</v>
      </c>
      <c r="T39" s="395">
        <f t="shared" si="25"/>
        <v>223.60000000000002</v>
      </c>
      <c r="U39" s="395">
        <f t="shared" si="25"/>
        <v>228.8</v>
      </c>
      <c r="V39" s="481"/>
      <c r="W39" s="482">
        <f t="shared" si="17"/>
        <v>193.99999999999997</v>
      </c>
      <c r="X39" s="483">
        <f t="shared" si="18"/>
        <v>1008.8</v>
      </c>
      <c r="Y39" s="484">
        <f t="shared" si="19"/>
        <v>36</v>
      </c>
      <c r="Z39" s="485">
        <f t="shared" si="20"/>
        <v>187.2</v>
      </c>
      <c r="AA39" s="486" t="s">
        <v>289</v>
      </c>
      <c r="AB39" s="487" t="s">
        <v>289</v>
      </c>
      <c r="AC39" s="484">
        <f t="shared" si="21"/>
        <v>36</v>
      </c>
      <c r="AD39" s="488">
        <f>+Z39</f>
        <v>187.2</v>
      </c>
    </row>
    <row r="40" spans="1:32" ht="16.5" customHeight="1">
      <c r="A40" s="682" t="s">
        <v>328</v>
      </c>
      <c r="B40" s="683"/>
      <c r="C40" s="683"/>
      <c r="D40" s="683"/>
      <c r="E40" s="398"/>
      <c r="F40" s="399">
        <f>SUM(F25:F38)</f>
        <v>194</v>
      </c>
      <c r="G40" s="398"/>
      <c r="H40" s="400"/>
      <c r="I40" s="401">
        <f>I39/5.2</f>
        <v>0</v>
      </c>
      <c r="J40" s="401">
        <f t="shared" ref="J40:K40" si="26">J39/5.2</f>
        <v>0</v>
      </c>
      <c r="K40" s="401">
        <f t="shared" si="26"/>
        <v>0</v>
      </c>
      <c r="L40" s="401">
        <f>L39/5.2</f>
        <v>0</v>
      </c>
      <c r="M40" s="401">
        <f>M39/5.2</f>
        <v>5</v>
      </c>
      <c r="N40" s="401">
        <f t="shared" ref="N40:U40" si="27">N39/5.2</f>
        <v>0</v>
      </c>
      <c r="O40" s="402">
        <f t="shared" si="27"/>
        <v>0</v>
      </c>
      <c r="P40" s="401">
        <f t="shared" si="27"/>
        <v>15</v>
      </c>
      <c r="Q40" s="401">
        <f t="shared" si="27"/>
        <v>16</v>
      </c>
      <c r="R40" s="402">
        <f t="shared" si="27"/>
        <v>29</v>
      </c>
      <c r="S40" s="403">
        <f t="shared" si="27"/>
        <v>42</v>
      </c>
      <c r="T40" s="403">
        <f t="shared" si="27"/>
        <v>43</v>
      </c>
      <c r="U40" s="403">
        <f t="shared" si="27"/>
        <v>44</v>
      </c>
      <c r="V40" s="481"/>
      <c r="W40" s="698"/>
      <c r="X40" s="699"/>
      <c r="Y40" s="699"/>
      <c r="Z40" s="699"/>
      <c r="AA40" s="699"/>
      <c r="AB40" s="699"/>
      <c r="AC40" s="699"/>
      <c r="AD40" s="700"/>
    </row>
    <row r="41" spans="1:32" ht="16.5" customHeight="1">
      <c r="A41" s="679"/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80"/>
      <c r="AB41" s="680"/>
      <c r="AC41" s="680"/>
      <c r="AD41" s="681"/>
    </row>
    <row r="42" spans="1:32" ht="16.5" customHeight="1">
      <c r="A42" s="682" t="s">
        <v>329</v>
      </c>
      <c r="B42" s="683"/>
      <c r="C42" s="683"/>
      <c r="D42" s="683"/>
      <c r="E42" s="684">
        <f>SUM(E39,E18)</f>
        <v>2329.6</v>
      </c>
      <c r="F42" s="685"/>
      <c r="G42" s="398"/>
      <c r="H42" s="400"/>
      <c r="I42" s="401">
        <f t="shared" ref="I42:U42" si="28">SUM(I39,I18)</f>
        <v>780</v>
      </c>
      <c r="J42" s="401">
        <f t="shared" si="28"/>
        <v>104</v>
      </c>
      <c r="K42" s="401">
        <f t="shared" si="28"/>
        <v>26</v>
      </c>
      <c r="L42" s="401">
        <f t="shared" si="28"/>
        <v>161.20000000000002</v>
      </c>
      <c r="M42" s="401">
        <f t="shared" si="28"/>
        <v>67.599999999999994</v>
      </c>
      <c r="N42" s="401">
        <f t="shared" si="28"/>
        <v>124.80000000000001</v>
      </c>
      <c r="O42" s="401">
        <f t="shared" si="28"/>
        <v>31.200000000000003</v>
      </c>
      <c r="P42" s="401">
        <f t="shared" si="28"/>
        <v>78</v>
      </c>
      <c r="Q42" s="401">
        <f t="shared" si="28"/>
        <v>119.60000000000001</v>
      </c>
      <c r="R42" s="403">
        <f t="shared" si="28"/>
        <v>150.80000000000001</v>
      </c>
      <c r="S42" s="403">
        <f t="shared" si="28"/>
        <v>223.6</v>
      </c>
      <c r="T42" s="403">
        <f t="shared" si="28"/>
        <v>223.60000000000002</v>
      </c>
      <c r="U42" s="403">
        <f t="shared" si="28"/>
        <v>239.20000000000002</v>
      </c>
      <c r="V42" s="481"/>
      <c r="W42" s="489">
        <f>+X42/5.2</f>
        <v>298</v>
      </c>
      <c r="X42" s="490">
        <f>SUM(X39,X18)</f>
        <v>1549.6</v>
      </c>
      <c r="Y42" s="491">
        <f>+Z42/5.2</f>
        <v>137</v>
      </c>
      <c r="Z42" s="492">
        <f>SUM(Z39,Z18)</f>
        <v>712.40000000000009</v>
      </c>
      <c r="AA42" s="491">
        <f>+AB42/5.2</f>
        <v>150</v>
      </c>
      <c r="AB42" s="491">
        <f>SUM(AA39,AB18)</f>
        <v>780</v>
      </c>
      <c r="AC42" s="491">
        <f>+AD42/5.2</f>
        <v>287</v>
      </c>
      <c r="AD42" s="493">
        <f>SUM(AD39,AD18)</f>
        <v>1492.4</v>
      </c>
    </row>
    <row r="43" spans="1:32" s="47" customFormat="1" ht="18.75" customHeight="1">
      <c r="A43" s="682"/>
      <c r="B43" s="683"/>
      <c r="C43" s="683"/>
      <c r="D43" s="683"/>
      <c r="E43" s="684"/>
      <c r="F43" s="685"/>
      <c r="G43" s="398"/>
      <c r="H43" s="404"/>
      <c r="I43" s="401"/>
      <c r="J43" s="686">
        <f>SUM(J42:L42)</f>
        <v>291.20000000000005</v>
      </c>
      <c r="K43" s="686"/>
      <c r="L43" s="686"/>
      <c r="M43" s="686">
        <f>SUM(M42:O42)</f>
        <v>223.60000000000002</v>
      </c>
      <c r="N43" s="686"/>
      <c r="O43" s="686"/>
      <c r="P43" s="687">
        <f>SUM(P42:R42)</f>
        <v>348.40000000000003</v>
      </c>
      <c r="Q43" s="687"/>
      <c r="R43" s="687"/>
      <c r="S43" s="688">
        <f>SUM(S42:U42)</f>
        <v>686.40000000000009</v>
      </c>
      <c r="T43" s="688"/>
      <c r="U43" s="688"/>
      <c r="V43" s="481"/>
      <c r="W43" s="689">
        <f>SUM(X40,X19)</f>
        <v>0</v>
      </c>
      <c r="X43" s="690"/>
      <c r="Y43" s="690"/>
      <c r="Z43" s="690"/>
      <c r="AA43" s="690"/>
      <c r="AB43" s="690"/>
      <c r="AC43" s="690"/>
      <c r="AD43" s="691"/>
    </row>
    <row r="44" spans="1:32" ht="16.5" customHeight="1">
      <c r="A44" s="682" t="s">
        <v>330</v>
      </c>
      <c r="B44" s="683"/>
      <c r="C44" s="683"/>
      <c r="D44" s="683"/>
      <c r="E44" s="398"/>
      <c r="F44" s="685">
        <f>SUM(F40,F19)</f>
        <v>448</v>
      </c>
      <c r="G44" s="398"/>
      <c r="H44" s="400"/>
      <c r="I44" s="401">
        <f t="shared" ref="I44:U44" si="29">SUM(I40,I19)</f>
        <v>150</v>
      </c>
      <c r="J44" s="401">
        <f t="shared" si="29"/>
        <v>20</v>
      </c>
      <c r="K44" s="401">
        <f t="shared" si="29"/>
        <v>5</v>
      </c>
      <c r="L44" s="401">
        <f t="shared" si="29"/>
        <v>31.000000000000004</v>
      </c>
      <c r="M44" s="401">
        <f t="shared" si="29"/>
        <v>13</v>
      </c>
      <c r="N44" s="401">
        <f t="shared" si="29"/>
        <v>24</v>
      </c>
      <c r="O44" s="401">
        <f t="shared" si="29"/>
        <v>6</v>
      </c>
      <c r="P44" s="401">
        <f t="shared" si="29"/>
        <v>15</v>
      </c>
      <c r="Q44" s="401">
        <f t="shared" si="29"/>
        <v>23</v>
      </c>
      <c r="R44" s="402">
        <f t="shared" si="29"/>
        <v>29</v>
      </c>
      <c r="S44" s="403">
        <f t="shared" si="29"/>
        <v>43</v>
      </c>
      <c r="T44" s="403">
        <f t="shared" si="29"/>
        <v>43</v>
      </c>
      <c r="U44" s="403">
        <f t="shared" si="29"/>
        <v>46</v>
      </c>
      <c r="V44" s="481"/>
      <c r="W44" s="689"/>
      <c r="X44" s="690"/>
      <c r="Y44" s="690"/>
      <c r="Z44" s="690"/>
      <c r="AA44" s="690"/>
      <c r="AB44" s="690"/>
      <c r="AC44" s="690"/>
      <c r="AD44" s="691"/>
    </row>
    <row r="45" spans="1:32" ht="16.5" customHeight="1" thickBot="1">
      <c r="A45" s="695"/>
      <c r="B45" s="696"/>
      <c r="C45" s="696"/>
      <c r="D45" s="696"/>
      <c r="E45" s="405"/>
      <c r="F45" s="702"/>
      <c r="G45" s="405"/>
      <c r="H45" s="406">
        <f>H43+H19</f>
        <v>0</v>
      </c>
      <c r="I45" s="407"/>
      <c r="J45" s="703">
        <f>SUM(J44:L44)</f>
        <v>56</v>
      </c>
      <c r="K45" s="703"/>
      <c r="L45" s="703"/>
      <c r="M45" s="703">
        <f>SUM(M44:O44)</f>
        <v>43</v>
      </c>
      <c r="N45" s="703"/>
      <c r="O45" s="703"/>
      <c r="P45" s="704">
        <f>SUM(P44:R44)</f>
        <v>67</v>
      </c>
      <c r="Q45" s="704"/>
      <c r="R45" s="704"/>
      <c r="S45" s="697">
        <f>SUM(S44:U44)</f>
        <v>132</v>
      </c>
      <c r="T45" s="697"/>
      <c r="U45" s="697"/>
      <c r="V45" s="494"/>
      <c r="W45" s="692"/>
      <c r="X45" s="693"/>
      <c r="Y45" s="693"/>
      <c r="Z45" s="693"/>
      <c r="AA45" s="693"/>
      <c r="AB45" s="693"/>
      <c r="AC45" s="693"/>
      <c r="AD45" s="694"/>
    </row>
    <row r="46" spans="1:32" ht="16.5" customHeight="1">
      <c r="A46" s="11"/>
      <c r="B46" s="495" t="s">
        <v>331</v>
      </c>
      <c r="C46" s="11"/>
      <c r="D46" s="11"/>
      <c r="E46" s="11"/>
      <c r="F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2" ht="34.5" customHeight="1">
      <c r="A47" s="701"/>
      <c r="B47" s="701"/>
      <c r="C47" s="701"/>
      <c r="D47" s="701"/>
      <c r="E47" s="701"/>
      <c r="F47" s="701"/>
      <c r="G47" s="701"/>
      <c r="H47" s="496" t="s">
        <v>15</v>
      </c>
      <c r="I47" s="426" t="s">
        <v>308</v>
      </c>
      <c r="J47" s="662">
        <v>45748</v>
      </c>
      <c r="K47" s="662">
        <v>45778</v>
      </c>
      <c r="L47" s="662">
        <v>45809</v>
      </c>
      <c r="M47" s="662">
        <v>45839</v>
      </c>
      <c r="N47" s="662">
        <v>45870</v>
      </c>
      <c r="O47" s="662">
        <v>45901</v>
      </c>
      <c r="P47" s="662">
        <v>45931</v>
      </c>
      <c r="Q47" s="662">
        <v>45962</v>
      </c>
      <c r="R47" s="662">
        <v>45992</v>
      </c>
      <c r="S47" s="662">
        <v>46023</v>
      </c>
      <c r="T47" s="662">
        <v>46054</v>
      </c>
      <c r="U47" s="662">
        <v>46082</v>
      </c>
      <c r="V47" s="427"/>
      <c r="W47" s="659" t="s">
        <v>309</v>
      </c>
      <c r="X47" s="660"/>
      <c r="Y47" s="659" t="s">
        <v>310</v>
      </c>
      <c r="Z47" s="660"/>
      <c r="AA47" s="659" t="s">
        <v>311</v>
      </c>
      <c r="AB47" s="660"/>
      <c r="AC47" s="659" t="s">
        <v>312</v>
      </c>
      <c r="AD47" s="661"/>
    </row>
    <row r="48" spans="1:32" ht="22.5" customHeight="1" thickBot="1">
      <c r="A48" s="701"/>
      <c r="B48" s="701"/>
      <c r="C48" s="701"/>
      <c r="D48" s="701"/>
      <c r="E48" s="701"/>
      <c r="F48" s="701"/>
      <c r="G48" s="701"/>
      <c r="H48" s="428"/>
      <c r="I48" s="429"/>
      <c r="J48" s="663"/>
      <c r="K48" s="663"/>
      <c r="L48" s="663"/>
      <c r="M48" s="663"/>
      <c r="N48" s="663"/>
      <c r="O48" s="663"/>
      <c r="P48" s="663"/>
      <c r="Q48" s="663"/>
      <c r="R48" s="663"/>
      <c r="S48" s="663"/>
      <c r="T48" s="663"/>
      <c r="U48" s="663"/>
      <c r="V48" s="430"/>
      <c r="W48" s="431" t="s">
        <v>241</v>
      </c>
      <c r="X48" s="431" t="s">
        <v>313</v>
      </c>
      <c r="Y48" s="431" t="s">
        <v>241</v>
      </c>
      <c r="Z48" s="431" t="s">
        <v>313</v>
      </c>
      <c r="AA48" s="431" t="s">
        <v>241</v>
      </c>
      <c r="AB48" s="431" t="s">
        <v>313</v>
      </c>
      <c r="AC48" s="431" t="s">
        <v>241</v>
      </c>
      <c r="AD48" s="432" t="s">
        <v>313</v>
      </c>
    </row>
    <row r="49" spans="1:30" s="3" customFormat="1" ht="18.75" customHeight="1">
      <c r="A49"/>
      <c r="B49" s="497" t="s">
        <v>332</v>
      </c>
      <c r="C49" s="498" t="s">
        <v>241</v>
      </c>
      <c r="D49" s="499" t="s">
        <v>313</v>
      </c>
      <c r="G49" s="3" t="s">
        <v>44</v>
      </c>
      <c r="H49" s="500" t="s">
        <v>44</v>
      </c>
      <c r="I49" s="501">
        <f>SUMIF($D$5:$D$38,$H49,I$5:U$38)</f>
        <v>0</v>
      </c>
      <c r="J49" s="501">
        <f t="shared" ref="J49:U51" si="30">SUMIF($D$5:$D$38,$H49,J$5:AE$38)</f>
        <v>0</v>
      </c>
      <c r="K49" s="501">
        <f t="shared" si="30"/>
        <v>0</v>
      </c>
      <c r="L49" s="501">
        <f t="shared" si="30"/>
        <v>0</v>
      </c>
      <c r="M49" s="501">
        <f t="shared" si="30"/>
        <v>0</v>
      </c>
      <c r="N49" s="501">
        <f t="shared" si="30"/>
        <v>0</v>
      </c>
      <c r="O49" s="501">
        <f t="shared" si="30"/>
        <v>0</v>
      </c>
      <c r="P49" s="501">
        <f t="shared" si="30"/>
        <v>78</v>
      </c>
      <c r="Q49" s="501">
        <f t="shared" si="30"/>
        <v>83.2</v>
      </c>
      <c r="R49" s="408">
        <f t="shared" si="30"/>
        <v>20.8</v>
      </c>
      <c r="S49" s="408">
        <f t="shared" si="30"/>
        <v>0</v>
      </c>
      <c r="T49" s="408">
        <f t="shared" si="30"/>
        <v>0</v>
      </c>
      <c r="U49" s="408">
        <f t="shared" si="30"/>
        <v>20.8</v>
      </c>
      <c r="V49" s="502"/>
      <c r="W49" s="242">
        <f>+X49/5.2</f>
        <v>39</v>
      </c>
      <c r="X49" s="503">
        <f>+SUM(J49:U49)</f>
        <v>202.8</v>
      </c>
      <c r="Y49" s="434">
        <f>+Z49/5.2</f>
        <v>30.999999999999996</v>
      </c>
      <c r="Z49" s="504">
        <f>+SUM(J49:Q49)</f>
        <v>161.19999999999999</v>
      </c>
      <c r="AA49" s="434">
        <f>+AB49/5.2</f>
        <v>0</v>
      </c>
      <c r="AB49" s="504">
        <f>SUMIF($D$5:$D$38,$H49,AB$5:AP$38)</f>
        <v>0</v>
      </c>
      <c r="AC49" s="434">
        <f>+AD49/5.2</f>
        <v>30.999999999999996</v>
      </c>
      <c r="AD49" s="504">
        <f>+AB49+Z49</f>
        <v>161.19999999999999</v>
      </c>
    </row>
    <row r="50" spans="1:30" s="3" customFormat="1" ht="18.75" customHeight="1">
      <c r="A50"/>
      <c r="B50" s="309" t="s">
        <v>333</v>
      </c>
      <c r="C50" s="29">
        <f>+W52+AA52</f>
        <v>448</v>
      </c>
      <c r="D50" s="302">
        <f>+X52+AB52</f>
        <v>2329.6000000000004</v>
      </c>
      <c r="G50" s="3" t="s">
        <v>33</v>
      </c>
      <c r="H50" s="500" t="s">
        <v>33</v>
      </c>
      <c r="I50" s="501">
        <f>SUMIF($D$5:$D$38,$H50,I$5:U$38)</f>
        <v>608.40000000000009</v>
      </c>
      <c r="J50" s="501">
        <f t="shared" si="30"/>
        <v>104</v>
      </c>
      <c r="K50" s="501">
        <f t="shared" si="30"/>
        <v>0</v>
      </c>
      <c r="L50" s="501">
        <f t="shared" si="30"/>
        <v>130</v>
      </c>
      <c r="M50" s="501">
        <f t="shared" si="30"/>
        <v>67.599999999999994</v>
      </c>
      <c r="N50" s="501">
        <f t="shared" si="30"/>
        <v>124.80000000000001</v>
      </c>
      <c r="O50" s="501">
        <f t="shared" si="30"/>
        <v>31.200000000000003</v>
      </c>
      <c r="P50" s="501">
        <f t="shared" si="30"/>
        <v>0</v>
      </c>
      <c r="Q50" s="501">
        <f t="shared" si="30"/>
        <v>36.400000000000006</v>
      </c>
      <c r="R50" s="408">
        <f t="shared" si="30"/>
        <v>130</v>
      </c>
      <c r="S50" s="408">
        <f t="shared" si="30"/>
        <v>223.60000000000002</v>
      </c>
      <c r="T50" s="408">
        <f t="shared" si="30"/>
        <v>223.60000000000002</v>
      </c>
      <c r="U50" s="408">
        <f t="shared" si="30"/>
        <v>218.4</v>
      </c>
      <c r="V50" s="502"/>
      <c r="W50" s="224">
        <f>+X50/5.2</f>
        <v>248.00000000000003</v>
      </c>
      <c r="X50" s="408">
        <f>+SUM(J50:U50)</f>
        <v>1289.6000000000001</v>
      </c>
      <c r="Y50" s="359">
        <f>+Z50/5.2</f>
        <v>95</v>
      </c>
      <c r="Z50" s="501">
        <f>+SUM(J50:Q50)</f>
        <v>494</v>
      </c>
      <c r="AA50" s="359">
        <f>+AB50/5.2</f>
        <v>117.00000000000001</v>
      </c>
      <c r="AB50" s="501">
        <f>SUMIF($D$5:$D$38,$H50,AB$5:AP$38)</f>
        <v>608.40000000000009</v>
      </c>
      <c r="AC50" s="359">
        <f>+AD50/5.2</f>
        <v>212</v>
      </c>
      <c r="AD50" s="501">
        <f>+AB50+Z50</f>
        <v>1102.4000000000001</v>
      </c>
    </row>
    <row r="51" spans="1:30" s="3" customFormat="1" ht="18.75" customHeight="1" thickBot="1">
      <c r="A51"/>
      <c r="B51" s="505" t="s">
        <v>334</v>
      </c>
      <c r="C51" s="313">
        <f>+Y52+AA52</f>
        <v>287</v>
      </c>
      <c r="D51" s="506">
        <f>+Z52+AB52</f>
        <v>1492.4</v>
      </c>
      <c r="G51" s="3" t="s">
        <v>62</v>
      </c>
      <c r="H51" s="500" t="s">
        <v>62</v>
      </c>
      <c r="I51" s="501">
        <f>SUMIF($D$5:$D$38,$H51,I$5:U$38)</f>
        <v>171.6</v>
      </c>
      <c r="J51" s="501">
        <f t="shared" si="30"/>
        <v>0</v>
      </c>
      <c r="K51" s="501">
        <f t="shared" si="30"/>
        <v>26</v>
      </c>
      <c r="L51" s="501">
        <f t="shared" si="30"/>
        <v>31.200000000000003</v>
      </c>
      <c r="M51" s="501">
        <f t="shared" si="30"/>
        <v>0</v>
      </c>
      <c r="N51" s="501">
        <f t="shared" si="30"/>
        <v>0</v>
      </c>
      <c r="O51" s="501">
        <f t="shared" si="30"/>
        <v>0</v>
      </c>
      <c r="P51" s="501">
        <f t="shared" si="30"/>
        <v>0</v>
      </c>
      <c r="Q51" s="501">
        <f t="shared" si="30"/>
        <v>0</v>
      </c>
      <c r="R51" s="408">
        <f t="shared" si="30"/>
        <v>0</v>
      </c>
      <c r="S51" s="408">
        <f t="shared" si="30"/>
        <v>0</v>
      </c>
      <c r="T51" s="408">
        <f t="shared" si="30"/>
        <v>0</v>
      </c>
      <c r="U51" s="408">
        <f t="shared" si="30"/>
        <v>0</v>
      </c>
      <c r="V51" s="502"/>
      <c r="W51" s="224">
        <f>+X51/5.2</f>
        <v>11</v>
      </c>
      <c r="X51" s="408">
        <f>+SUM(J51:U51)</f>
        <v>57.2</v>
      </c>
      <c r="Y51" s="359">
        <f>+Z51/5.2</f>
        <v>11</v>
      </c>
      <c r="Z51" s="501">
        <f>+SUM(J51:Q51)</f>
        <v>57.2</v>
      </c>
      <c r="AA51" s="359">
        <f>+AB51/5.2</f>
        <v>33</v>
      </c>
      <c r="AB51" s="501">
        <f>SUMIF($D$5:$D$38,$H51,AB$5:AP$38)</f>
        <v>171.6</v>
      </c>
      <c r="AC51" s="359">
        <f>+AD51/5.2</f>
        <v>44</v>
      </c>
      <c r="AD51" s="501">
        <f>+AB51+Z51</f>
        <v>228.8</v>
      </c>
    </row>
    <row r="52" spans="1:30" s="3" customFormat="1" ht="18.75" customHeight="1">
      <c r="A52"/>
      <c r="B52"/>
      <c r="C52" s="56"/>
      <c r="D52" s="95"/>
      <c r="H52" s="507" t="s">
        <v>64</v>
      </c>
      <c r="I52" s="508">
        <f t="shared" ref="I52:U52" si="31">SUM(I49:I51)</f>
        <v>780.00000000000011</v>
      </c>
      <c r="J52" s="508">
        <f t="shared" si="31"/>
        <v>104</v>
      </c>
      <c r="K52" s="508">
        <f t="shared" si="31"/>
        <v>26</v>
      </c>
      <c r="L52" s="508">
        <f t="shared" si="31"/>
        <v>161.19999999999999</v>
      </c>
      <c r="M52" s="508">
        <f t="shared" si="31"/>
        <v>67.599999999999994</v>
      </c>
      <c r="N52" s="508">
        <f t="shared" si="31"/>
        <v>124.80000000000001</v>
      </c>
      <c r="O52" s="508">
        <f t="shared" si="31"/>
        <v>31.200000000000003</v>
      </c>
      <c r="P52" s="508">
        <f t="shared" si="31"/>
        <v>78</v>
      </c>
      <c r="Q52" s="508">
        <f t="shared" si="31"/>
        <v>119.60000000000001</v>
      </c>
      <c r="R52" s="509">
        <f t="shared" si="31"/>
        <v>150.80000000000001</v>
      </c>
      <c r="S52" s="509">
        <f t="shared" si="31"/>
        <v>223.60000000000002</v>
      </c>
      <c r="T52" s="509">
        <f t="shared" si="31"/>
        <v>223.60000000000002</v>
      </c>
      <c r="U52" s="509">
        <f t="shared" si="31"/>
        <v>239.20000000000002</v>
      </c>
      <c r="V52" s="510"/>
      <c r="W52" s="448">
        <f>+X52/5.2</f>
        <v>298</v>
      </c>
      <c r="X52" s="449">
        <f>+SUM(J52:U52)</f>
        <v>1549.6000000000001</v>
      </c>
      <c r="Y52" s="450">
        <f>+Z52/5.2</f>
        <v>137</v>
      </c>
      <c r="Z52" s="451">
        <f>+SUM(J52:Q52)</f>
        <v>712.4</v>
      </c>
      <c r="AA52" s="450">
        <f>+AB52/5.2</f>
        <v>150.00000000000003</v>
      </c>
      <c r="AB52" s="451">
        <f>SUM(AB49:AB51)</f>
        <v>780.00000000000011</v>
      </c>
      <c r="AC52" s="450">
        <f>+AD52/5.2</f>
        <v>287</v>
      </c>
      <c r="AD52" s="451">
        <f>+AB52+Z52</f>
        <v>1492.4</v>
      </c>
    </row>
    <row r="53" spans="1:30" s="3" customFormat="1" ht="18.75" customHeight="1">
      <c r="A53"/>
      <c r="B53"/>
      <c r="C53" s="56"/>
      <c r="D53" s="95"/>
      <c r="H53" s="43"/>
      <c r="I53" s="47"/>
      <c r="J53" s="11"/>
      <c r="K53" s="11"/>
      <c r="L53" s="11"/>
      <c r="M53" s="81"/>
      <c r="N53" s="81"/>
      <c r="O53" s="5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spans="1:30" ht="21" hidden="1" customHeight="1">
      <c r="H54" s="12" t="s">
        <v>299</v>
      </c>
    </row>
    <row r="55" spans="1:30" ht="22.5" hidden="1" customHeight="1">
      <c r="H55" s="26" t="s">
        <v>7</v>
      </c>
      <c r="I55" s="41" t="s">
        <v>324</v>
      </c>
      <c r="J55" s="41">
        <v>45748</v>
      </c>
      <c r="K55" s="41">
        <v>45778</v>
      </c>
      <c r="L55" s="41"/>
      <c r="M55" s="41"/>
      <c r="N55" s="41"/>
      <c r="O55" s="41"/>
      <c r="P55" s="41"/>
      <c r="Q55" s="41"/>
      <c r="R55" s="41"/>
      <c r="S55" s="41">
        <v>46023</v>
      </c>
      <c r="T55" s="41">
        <v>46054</v>
      </c>
      <c r="U55" s="42">
        <v>46082</v>
      </c>
      <c r="V55" s="512"/>
      <c r="W55" s="409"/>
      <c r="X55" s="409"/>
      <c r="Y55" s="409"/>
      <c r="Z55" s="409"/>
      <c r="AA55" s="409"/>
      <c r="AB55" s="409"/>
      <c r="AC55" s="409"/>
      <c r="AD55" s="409"/>
    </row>
    <row r="56" spans="1:30" ht="22.5" hidden="1" customHeight="1">
      <c r="H56" s="32" t="s">
        <v>33</v>
      </c>
      <c r="I56" s="4">
        <f>I22+I50</f>
        <v>1216.8000000000002</v>
      </c>
      <c r="J56" s="4">
        <f>J22+J50</f>
        <v>104</v>
      </c>
      <c r="K56" s="4">
        <f>K22+K50</f>
        <v>0</v>
      </c>
      <c r="L56" s="4"/>
      <c r="M56" s="4"/>
      <c r="N56" s="4"/>
      <c r="O56" s="4"/>
      <c r="P56" s="4"/>
      <c r="Q56" s="4"/>
      <c r="R56" s="4"/>
      <c r="S56" s="4">
        <f>S22+S50</f>
        <v>223.60000000000002</v>
      </c>
      <c r="T56" s="4">
        <f>T22+T50</f>
        <v>223.60000000000002</v>
      </c>
      <c r="U56" s="410">
        <f>U22+U50</f>
        <v>228.8</v>
      </c>
      <c r="V56" s="64"/>
      <c r="W56" s="64"/>
      <c r="X56" s="64"/>
      <c r="Y56" s="64"/>
      <c r="Z56" s="64"/>
      <c r="AA56" s="64"/>
      <c r="AB56" s="64"/>
      <c r="AC56" s="64"/>
      <c r="AD56" s="64"/>
    </row>
    <row r="57" spans="1:30" ht="22.5" hidden="1" customHeight="1">
      <c r="H57" s="36" t="s">
        <v>44</v>
      </c>
      <c r="I57" s="5">
        <f>I23+I49</f>
        <v>0</v>
      </c>
      <c r="J57" s="5">
        <f>J23+J49</f>
        <v>0</v>
      </c>
      <c r="K57" s="5">
        <f>K23+K49</f>
        <v>0</v>
      </c>
      <c r="L57" s="5"/>
      <c r="M57" s="5"/>
      <c r="N57" s="5"/>
      <c r="O57" s="5"/>
      <c r="P57" s="5"/>
      <c r="Q57" s="5"/>
      <c r="R57" s="5"/>
      <c r="S57" s="5">
        <f>S23+S49</f>
        <v>0</v>
      </c>
      <c r="T57" s="5">
        <f>T23+T49</f>
        <v>0</v>
      </c>
      <c r="U57" s="411">
        <f>U23+U49</f>
        <v>20.8</v>
      </c>
      <c r="V57" s="64"/>
      <c r="W57" s="64"/>
      <c r="X57" s="64"/>
      <c r="Y57" s="64"/>
      <c r="Z57" s="64"/>
      <c r="AA57" s="64"/>
      <c r="AB57" s="64"/>
      <c r="AC57" s="64"/>
      <c r="AD57" s="64"/>
    </row>
    <row r="58" spans="1:30" ht="22.5" hidden="1" customHeight="1">
      <c r="H58" s="36" t="s">
        <v>62</v>
      </c>
      <c r="I58" s="5">
        <f>I24+I51</f>
        <v>343.2</v>
      </c>
      <c r="J58" s="5">
        <f>J24+J51</f>
        <v>0</v>
      </c>
      <c r="K58" s="5">
        <f>K24+K51</f>
        <v>26</v>
      </c>
      <c r="L58" s="5"/>
      <c r="M58" s="5"/>
      <c r="N58" s="5"/>
      <c r="O58" s="5"/>
      <c r="P58" s="5"/>
      <c r="Q58" s="5"/>
      <c r="R58" s="5"/>
      <c r="S58" s="5">
        <f>S24+S51</f>
        <v>0</v>
      </c>
      <c r="T58" s="5">
        <f>T24+T51</f>
        <v>0</v>
      </c>
      <c r="U58" s="411">
        <f>U24+U51</f>
        <v>0</v>
      </c>
      <c r="V58" s="64"/>
      <c r="W58" s="64"/>
      <c r="X58" s="64"/>
      <c r="Y58" s="64"/>
      <c r="Z58" s="64"/>
      <c r="AA58" s="64"/>
      <c r="AB58" s="64"/>
      <c r="AC58" s="64"/>
      <c r="AD58" s="64"/>
    </row>
    <row r="59" spans="1:30" ht="22.5" hidden="1" customHeight="1">
      <c r="H59" s="37" t="s">
        <v>63</v>
      </c>
      <c r="I59" s="10" t="e">
        <f>I25+#REF!</f>
        <v>#REF!</v>
      </c>
      <c r="J59" s="10" t="e">
        <f>J25+#REF!</f>
        <v>#REF!</v>
      </c>
      <c r="K59" s="10" t="e">
        <f>K25+#REF!</f>
        <v>#REF!</v>
      </c>
      <c r="L59" s="10"/>
      <c r="M59" s="10"/>
      <c r="N59" s="10"/>
      <c r="O59" s="10"/>
      <c r="P59" s="10"/>
      <c r="Q59" s="10"/>
      <c r="R59" s="384"/>
      <c r="S59" s="384" t="e">
        <f>S25+#REF!</f>
        <v>#REF!</v>
      </c>
      <c r="T59" s="10" t="e">
        <f>T25+#REF!</f>
        <v>#REF!</v>
      </c>
      <c r="U59" s="412" t="e">
        <f>U25+#REF!</f>
        <v>#REF!</v>
      </c>
      <c r="V59" s="64"/>
      <c r="W59" s="64"/>
      <c r="X59" s="64"/>
      <c r="Y59" s="64"/>
      <c r="Z59" s="64"/>
      <c r="AA59" s="64"/>
      <c r="AB59" s="64"/>
      <c r="AC59" s="64"/>
      <c r="AD59" s="64"/>
    </row>
    <row r="60" spans="1:30" ht="22.5" hidden="1" customHeight="1">
      <c r="H60" s="28" t="s">
        <v>64</v>
      </c>
      <c r="I60" s="31" t="e">
        <f t="shared" ref="I60:U60" si="32">SUM(I56:I59)</f>
        <v>#REF!</v>
      </c>
      <c r="J60" s="31" t="e">
        <f t="shared" si="32"/>
        <v>#REF!</v>
      </c>
      <c r="K60" s="31" t="e">
        <f t="shared" si="32"/>
        <v>#REF!</v>
      </c>
      <c r="L60" s="31"/>
      <c r="M60" s="31"/>
      <c r="N60" s="31"/>
      <c r="O60" s="31"/>
      <c r="P60" s="31"/>
      <c r="Q60" s="31"/>
      <c r="R60" s="31"/>
      <c r="S60" s="31" t="e">
        <f t="shared" si="32"/>
        <v>#REF!</v>
      </c>
      <c r="T60" s="31" t="e">
        <f t="shared" si="32"/>
        <v>#REF!</v>
      </c>
      <c r="U60" s="31" t="e">
        <f t="shared" si="32"/>
        <v>#REF!</v>
      </c>
      <c r="V60" s="81"/>
      <c r="W60" s="81"/>
      <c r="X60" s="81"/>
      <c r="Y60" s="81"/>
      <c r="Z60" s="81"/>
      <c r="AA60" s="81"/>
      <c r="AB60" s="81"/>
      <c r="AC60" s="81"/>
      <c r="AD60" s="81"/>
    </row>
    <row r="61" spans="1:30" ht="12.75" hidden="1" customHeight="1"/>
    <row r="62" spans="1:30" ht="19.5" hidden="1" customHeight="1">
      <c r="I62" s="31" t="e">
        <f>I60/5.2</f>
        <v>#REF!</v>
      </c>
      <c r="J62" s="31" t="e">
        <f t="shared" ref="J62:U62" si="33">J60/5.2</f>
        <v>#REF!</v>
      </c>
      <c r="K62" s="31" t="e">
        <f t="shared" si="33"/>
        <v>#REF!</v>
      </c>
      <c r="L62" s="31"/>
      <c r="M62" s="31"/>
      <c r="N62" s="31"/>
      <c r="O62" s="31"/>
      <c r="P62" s="31"/>
      <c r="Q62" s="31"/>
      <c r="R62" s="31"/>
      <c r="S62" s="31" t="e">
        <f t="shared" si="33"/>
        <v>#REF!</v>
      </c>
      <c r="T62" s="31" t="e">
        <f t="shared" si="33"/>
        <v>#REF!</v>
      </c>
      <c r="U62" s="31" t="e">
        <f t="shared" si="33"/>
        <v>#REF!</v>
      </c>
      <c r="V62" s="81"/>
      <c r="W62" s="81"/>
      <c r="X62" s="81"/>
      <c r="Y62" s="81"/>
      <c r="Z62" s="81"/>
      <c r="AA62" s="81"/>
      <c r="AB62" s="81"/>
      <c r="AC62" s="81"/>
      <c r="AD62" s="81"/>
    </row>
    <row r="63" spans="1:30" ht="27.75" hidden="1" customHeight="1">
      <c r="J63" s="31" t="e">
        <f>SUM(I62:J62)</f>
        <v>#REF!</v>
      </c>
      <c r="T63" s="31" t="e">
        <f>SUM(K62:T62)</f>
        <v>#REF!</v>
      </c>
    </row>
    <row r="64" spans="1:30" ht="21" hidden="1" customHeight="1">
      <c r="I64" s="31" t="e">
        <f>I62</f>
        <v>#REF!</v>
      </c>
      <c r="J64" s="31" t="e">
        <f>J62+4</f>
        <v>#REF!</v>
      </c>
      <c r="K64" s="31" t="e">
        <f t="shared" ref="K64:U64" si="34">K62</f>
        <v>#REF!</v>
      </c>
      <c r="L64" s="31"/>
      <c r="M64" s="31"/>
      <c r="N64" s="31"/>
      <c r="O64" s="31"/>
      <c r="P64" s="31"/>
      <c r="Q64" s="31"/>
      <c r="R64" s="31"/>
      <c r="S64" s="31" t="e">
        <f>S62-9</f>
        <v>#REF!</v>
      </c>
      <c r="T64" s="31" t="e">
        <f>T62-45</f>
        <v>#REF!</v>
      </c>
      <c r="U64" s="31" t="e">
        <f t="shared" si="34"/>
        <v>#REF!</v>
      </c>
      <c r="V64" s="81"/>
      <c r="W64" s="81"/>
      <c r="X64" s="81"/>
      <c r="Y64" s="81"/>
      <c r="Z64" s="81"/>
      <c r="AA64" s="81"/>
      <c r="AB64" s="81"/>
      <c r="AC64" s="81"/>
      <c r="AD64" s="81"/>
    </row>
    <row r="65" spans="10:30" ht="32.25" hidden="1" customHeight="1">
      <c r="J65" s="31" t="e">
        <f>SUM(I64:J64)</f>
        <v>#REF!</v>
      </c>
      <c r="T65" s="31" t="e">
        <f>SUM(K64:T64)</f>
        <v>#REF!</v>
      </c>
    </row>
    <row r="66" spans="10:30" ht="12.75" hidden="1" customHeight="1"/>
    <row r="67" spans="10:30" ht="12.75" hidden="1" customHeight="1">
      <c r="J67">
        <f>J39/5.2</f>
        <v>0</v>
      </c>
      <c r="K67">
        <f>K39/5.2</f>
        <v>0</v>
      </c>
      <c r="S67">
        <f>S39/5.2</f>
        <v>42</v>
      </c>
      <c r="T67">
        <f>T39/5.2</f>
        <v>43</v>
      </c>
      <c r="U67">
        <f>U39/5.2</f>
        <v>44</v>
      </c>
    </row>
    <row r="68" spans="10:30" ht="12.75" hidden="1" customHeight="1">
      <c r="J68" s="54">
        <f>J18+J39</f>
        <v>104</v>
      </c>
      <c r="K68" s="54">
        <f>K18+K39</f>
        <v>26</v>
      </c>
      <c r="L68" s="54"/>
      <c r="M68" s="54"/>
      <c r="N68" s="54"/>
      <c r="O68" s="54"/>
      <c r="P68" s="54"/>
      <c r="Q68" s="54"/>
      <c r="R68" s="54"/>
      <c r="S68" s="54">
        <f>S18+S39</f>
        <v>223.6</v>
      </c>
      <c r="T68" s="54">
        <f>T18+T39</f>
        <v>223.60000000000002</v>
      </c>
      <c r="U68" s="54">
        <f>U18+U39</f>
        <v>239.20000000000002</v>
      </c>
      <c r="V68" s="54"/>
      <c r="W68" s="54"/>
      <c r="X68" s="54"/>
      <c r="Y68" s="54"/>
      <c r="Z68" s="54"/>
      <c r="AA68" s="54"/>
      <c r="AB68" s="54"/>
      <c r="AC68" s="54"/>
      <c r="AD68" s="54"/>
    </row>
    <row r="69" spans="10:30" ht="12.75" customHeight="1">
      <c r="P69" s="171"/>
      <c r="Q69" s="413"/>
    </row>
    <row r="70" spans="10:30" ht="12.75" customHeight="1"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</sheetData>
  <autoFilter ref="A3:U43" xr:uid="{9A8ABD11-4B72-4B17-9D49-E18094C82C19}"/>
  <mergeCells count="96">
    <mergeCell ref="AC47:AD47"/>
    <mergeCell ref="N47:N48"/>
    <mergeCell ref="O47:O48"/>
    <mergeCell ref="P47:P48"/>
    <mergeCell ref="Q47:Q48"/>
    <mergeCell ref="R47:R48"/>
    <mergeCell ref="S47:S48"/>
    <mergeCell ref="T47:T48"/>
    <mergeCell ref="U47:U48"/>
    <mergeCell ref="W47:X47"/>
    <mergeCell ref="Y47:Z47"/>
    <mergeCell ref="AA47:AB47"/>
    <mergeCell ref="M47:M48"/>
    <mergeCell ref="F44:F45"/>
    <mergeCell ref="J45:L45"/>
    <mergeCell ref="M45:O45"/>
    <mergeCell ref="P45:R45"/>
    <mergeCell ref="F47:F48"/>
    <mergeCell ref="G47:G48"/>
    <mergeCell ref="J47:J48"/>
    <mergeCell ref="K47:K48"/>
    <mergeCell ref="L47:L48"/>
    <mergeCell ref="A47:A48"/>
    <mergeCell ref="B47:B48"/>
    <mergeCell ref="C47:C48"/>
    <mergeCell ref="D47:D48"/>
    <mergeCell ref="E47:E48"/>
    <mergeCell ref="A39:D39"/>
    <mergeCell ref="A41:AD41"/>
    <mergeCell ref="A42:D43"/>
    <mergeCell ref="E42:E43"/>
    <mergeCell ref="F42:F43"/>
    <mergeCell ref="J43:L43"/>
    <mergeCell ref="M43:O43"/>
    <mergeCell ref="P43:R43"/>
    <mergeCell ref="S43:U43"/>
    <mergeCell ref="W43:AD45"/>
    <mergeCell ref="A44:D45"/>
    <mergeCell ref="S45:U45"/>
    <mergeCell ref="A40:D40"/>
    <mergeCell ref="W40:AD40"/>
    <mergeCell ref="U29:U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W29:X29"/>
    <mergeCell ref="Y29:Z29"/>
    <mergeCell ref="A18:D18"/>
    <mergeCell ref="A20:AD20"/>
    <mergeCell ref="AI20:AJ20"/>
    <mergeCell ref="A28:AD28"/>
    <mergeCell ref="A29:A30"/>
    <mergeCell ref="B29:B30"/>
    <mergeCell ref="C29:C30"/>
    <mergeCell ref="D29:D30"/>
    <mergeCell ref="E29:E30"/>
    <mergeCell ref="F29:F30"/>
    <mergeCell ref="G29:G30"/>
    <mergeCell ref="AA29:AB29"/>
    <mergeCell ref="AC29:AD29"/>
    <mergeCell ref="A19:D19"/>
    <mergeCell ref="N3:N4"/>
    <mergeCell ref="W19:AD19"/>
    <mergeCell ref="P3:P4"/>
    <mergeCell ref="Q3:Q4"/>
    <mergeCell ref="R3:R4"/>
    <mergeCell ref="S3:S4"/>
    <mergeCell ref="T3:T4"/>
    <mergeCell ref="U3:U4"/>
    <mergeCell ref="O3:O4"/>
    <mergeCell ref="W3:X3"/>
    <mergeCell ref="Y3:Z3"/>
    <mergeCell ref="A2:N2"/>
    <mergeCell ref="O2:U2"/>
    <mergeCell ref="W2:AD2"/>
    <mergeCell ref="A3:A4"/>
    <mergeCell ref="B3:B4"/>
    <mergeCell ref="C3:C4"/>
    <mergeCell ref="D3:D4"/>
    <mergeCell ref="E3:E4"/>
    <mergeCell ref="F3:F4"/>
    <mergeCell ref="G3:G4"/>
    <mergeCell ref="AA3:AB3"/>
    <mergeCell ref="AC3:AD3"/>
    <mergeCell ref="J3:J4"/>
    <mergeCell ref="K3:K4"/>
    <mergeCell ref="L3:L4"/>
    <mergeCell ref="M3:M4"/>
  </mergeCells>
  <pageMargins left="0.31496062992125984" right="0.31496062992125984" top="0.74803149606299213" bottom="0.74803149606299213" header="0.31496062992125984" footer="0.31496062992125984"/>
  <pageSetup paperSize="8" scale="6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98B9-75E0-49C0-BBDD-BD5CE9CB16A2}">
  <sheetPr codeName="Sheet6">
    <pageSetUpPr fitToPage="1"/>
  </sheetPr>
  <dimension ref="A1:S23"/>
  <sheetViews>
    <sheetView showZeros="0" zoomScale="85" zoomScaleNormal="85" zoomScaleSheetLayoutView="85" workbookViewId="0">
      <selection activeCell="AF23" sqref="AE23:AP37"/>
    </sheetView>
  </sheetViews>
  <sheetFormatPr defaultColWidth="9.28515625" defaultRowHeight="12.75" customHeight="1"/>
  <cols>
    <col min="1" max="1" width="7.85546875" customWidth="1"/>
    <col min="2" max="2" width="17.140625" customWidth="1"/>
    <col min="4" max="4" width="15.5703125" customWidth="1"/>
    <col min="5" max="5" width="13.28515625" style="2" customWidth="1"/>
    <col min="6" max="6" width="8.5703125" style="2" customWidth="1"/>
    <col min="7" max="19" width="7.5703125" customWidth="1"/>
  </cols>
  <sheetData>
    <row r="1" spans="1:19" ht="18.75">
      <c r="A1" s="12" t="s">
        <v>335</v>
      </c>
      <c r="M1" s="221"/>
      <c r="N1" s="221"/>
      <c r="O1" s="221"/>
      <c r="P1" s="221"/>
      <c r="Q1" s="221"/>
      <c r="R1" s="46" t="s">
        <v>283</v>
      </c>
      <c r="S1" s="49"/>
    </row>
    <row r="2" spans="1:19" ht="58.5" customHeight="1">
      <c r="A2" s="24" t="s">
        <v>2</v>
      </c>
      <c r="B2" s="25" t="s">
        <v>3</v>
      </c>
      <c r="C2" s="25" t="s">
        <v>4</v>
      </c>
      <c r="D2" s="26" t="s">
        <v>284</v>
      </c>
      <c r="E2" s="25" t="s">
        <v>7</v>
      </c>
      <c r="F2" s="25" t="s">
        <v>7</v>
      </c>
      <c r="G2" s="25" t="s">
        <v>229</v>
      </c>
      <c r="H2" s="41">
        <v>45748</v>
      </c>
      <c r="I2" s="41">
        <v>45778</v>
      </c>
      <c r="J2" s="41">
        <v>45809</v>
      </c>
      <c r="K2" s="41">
        <v>45839</v>
      </c>
      <c r="L2" s="41">
        <v>45870</v>
      </c>
      <c r="M2" s="41">
        <v>45901</v>
      </c>
      <c r="N2" s="41">
        <v>45931</v>
      </c>
      <c r="O2" s="41">
        <v>45962</v>
      </c>
      <c r="P2" s="41">
        <v>45992</v>
      </c>
      <c r="Q2" s="41">
        <v>46023</v>
      </c>
      <c r="R2" s="41">
        <v>46054</v>
      </c>
      <c r="S2" s="42">
        <v>46082</v>
      </c>
    </row>
    <row r="3" spans="1:19" s="3" customFormat="1" ht="24" customHeight="1">
      <c r="A3" s="9" t="s">
        <v>68</v>
      </c>
      <c r="B3" s="16" t="s">
        <v>231</v>
      </c>
      <c r="C3" s="16" t="s">
        <v>336</v>
      </c>
      <c r="D3" s="16" t="s">
        <v>337</v>
      </c>
      <c r="E3" s="16" t="s">
        <v>216</v>
      </c>
      <c r="F3" s="16" t="s">
        <v>33</v>
      </c>
      <c r="G3" s="14">
        <f>79*3.3</f>
        <v>260.7</v>
      </c>
      <c r="H3" s="14"/>
      <c r="I3" s="14"/>
      <c r="J3" s="14"/>
      <c r="K3" s="7"/>
      <c r="L3" s="7"/>
      <c r="M3" s="7"/>
      <c r="N3" s="7"/>
      <c r="O3" s="7"/>
      <c r="P3" s="62"/>
      <c r="Q3" s="72"/>
      <c r="R3" s="72"/>
      <c r="S3" s="72"/>
    </row>
    <row r="4" spans="1:19" s="3" customFormat="1" ht="24" customHeight="1">
      <c r="A4" s="9" t="s">
        <v>79</v>
      </c>
      <c r="B4" s="16" t="s">
        <v>231</v>
      </c>
      <c r="C4" s="16" t="s">
        <v>217</v>
      </c>
      <c r="D4" s="16" t="s">
        <v>218</v>
      </c>
      <c r="E4" s="16" t="s">
        <v>216</v>
      </c>
      <c r="F4" s="13" t="s">
        <v>33</v>
      </c>
      <c r="G4" s="14">
        <f>98*3.3</f>
        <v>323.39999999999998</v>
      </c>
      <c r="H4" s="14"/>
      <c r="I4" s="14"/>
      <c r="J4" s="14"/>
      <c r="K4" s="7"/>
      <c r="L4" s="7"/>
      <c r="M4" s="7"/>
      <c r="N4" s="7"/>
      <c r="O4" s="7"/>
      <c r="P4" s="62"/>
      <c r="Q4" s="72"/>
      <c r="R4" s="72"/>
      <c r="S4" s="72">
        <f>60*3.3</f>
        <v>198</v>
      </c>
    </row>
    <row r="5" spans="1:19" s="3" customFormat="1" ht="24" customHeight="1">
      <c r="A5" s="9"/>
      <c r="B5" s="16"/>
      <c r="C5" s="16"/>
      <c r="D5" s="16"/>
      <c r="E5" s="16"/>
      <c r="F5" s="13"/>
      <c r="G5" s="14"/>
      <c r="H5" s="14"/>
      <c r="I5" s="14"/>
      <c r="J5" s="14"/>
      <c r="K5" s="7"/>
      <c r="L5" s="7"/>
      <c r="M5" s="7"/>
      <c r="N5" s="7"/>
      <c r="O5" s="7"/>
      <c r="P5" s="62"/>
      <c r="Q5" s="80"/>
      <c r="R5" s="80"/>
      <c r="S5" s="80"/>
    </row>
    <row r="6" spans="1:19" s="11" customFormat="1" ht="17.25" customHeight="1">
      <c r="A6" s="705" t="s">
        <v>64</v>
      </c>
      <c r="B6" s="706"/>
      <c r="C6" s="706"/>
      <c r="D6" s="706"/>
      <c r="E6" s="706"/>
      <c r="F6" s="706"/>
      <c r="G6" s="31">
        <f>SUM(G3:G5)</f>
        <v>584.09999999999991</v>
      </c>
      <c r="H6" s="29">
        <f t="shared" ref="H6:S6" si="0">SUM(H3:H5)</f>
        <v>0</v>
      </c>
      <c r="I6" s="29">
        <f t="shared" si="0"/>
        <v>0</v>
      </c>
      <c r="J6" s="29">
        <f t="shared" si="0"/>
        <v>0</v>
      </c>
      <c r="K6" s="29">
        <f t="shared" si="0"/>
        <v>0</v>
      </c>
      <c r="L6" s="29">
        <f t="shared" si="0"/>
        <v>0</v>
      </c>
      <c r="M6" s="29">
        <f t="shared" si="0"/>
        <v>0</v>
      </c>
      <c r="N6" s="29">
        <f t="shared" si="0"/>
        <v>0</v>
      </c>
      <c r="O6" s="29">
        <f t="shared" si="0"/>
        <v>0</v>
      </c>
      <c r="P6" s="29">
        <f t="shared" si="0"/>
        <v>0</v>
      </c>
      <c r="Q6" s="29">
        <f t="shared" si="0"/>
        <v>0</v>
      </c>
      <c r="R6" s="29">
        <f t="shared" si="0"/>
        <v>0</v>
      </c>
      <c r="S6" s="29">
        <f t="shared" si="0"/>
        <v>198</v>
      </c>
    </row>
    <row r="7" spans="1:19" ht="13.5"/>
    <row r="8" spans="1:19" ht="13.5" hidden="1">
      <c r="A8" s="1"/>
      <c r="H8" s="40">
        <v>45748</v>
      </c>
      <c r="I8" s="40">
        <v>45778</v>
      </c>
      <c r="J8" s="40">
        <v>45809</v>
      </c>
      <c r="K8" s="41">
        <v>45839</v>
      </c>
      <c r="L8" s="41">
        <v>45870</v>
      </c>
      <c r="M8" s="41">
        <v>45901</v>
      </c>
      <c r="N8" s="41">
        <v>45931</v>
      </c>
      <c r="O8" s="41">
        <v>45962</v>
      </c>
      <c r="P8" s="41">
        <v>45992</v>
      </c>
      <c r="Q8" s="41">
        <v>46023</v>
      </c>
      <c r="R8" s="41">
        <v>46054</v>
      </c>
      <c r="S8" s="42">
        <v>46082</v>
      </c>
    </row>
    <row r="9" spans="1:19" s="3" customFormat="1" ht="18.75" hidden="1" customHeight="1">
      <c r="A9"/>
      <c r="B9"/>
      <c r="C9"/>
      <c r="D9"/>
      <c r="E9"/>
      <c r="F9"/>
      <c r="H9" s="35">
        <f>SUMIF($F$3:$F$5,#REF!,H$3:H$5)</f>
        <v>0</v>
      </c>
      <c r="I9" s="35">
        <f>SUMIF($F$3:$F$5,#REF!,I$3:I$5)</f>
        <v>0</v>
      </c>
      <c r="J9" s="35">
        <f>SUMIF($F$3:$F$5,#REF!,J$3:J$5)</f>
        <v>0</v>
      </c>
      <c r="K9" s="35">
        <f>SUMIF($F$3:$F$5,#REF!,K$3:K$5)</f>
        <v>0</v>
      </c>
      <c r="L9" s="6">
        <f>SUMIF($F$3:$F$5,#REF!,L$3:L$5)</f>
        <v>0</v>
      </c>
      <c r="M9" s="6">
        <f>SUMIF($F$3:$F$5,#REF!,M$3:M$5)</f>
        <v>0</v>
      </c>
      <c r="N9" s="6">
        <f>SUMIF($F$3:$F$5,#REF!,N$3:N$5)</f>
        <v>0</v>
      </c>
      <c r="O9" s="6">
        <f>SUMIF($F$3:$F$5,#REF!,O$3:O$5)</f>
        <v>0</v>
      </c>
      <c r="P9" s="6">
        <f>SUMIF($F$3:$F$5,#REF!,P$3:P$5)</f>
        <v>0</v>
      </c>
      <c r="Q9" s="4">
        <f>SUMIF($F$3:$F$5,#REF!,Q$3:Q$5)</f>
        <v>0</v>
      </c>
      <c r="R9" s="4">
        <f>SUMIF($F$3:$F$5,#REF!,R$3:R$5)</f>
        <v>0</v>
      </c>
      <c r="S9" s="4">
        <f>SUMIF($F$3:$F$5,#REF!,S$3:S$5)</f>
        <v>0</v>
      </c>
    </row>
    <row r="10" spans="1:19" s="3" customFormat="1" ht="18.75" hidden="1" customHeight="1">
      <c r="A10"/>
      <c r="B10"/>
      <c r="C10"/>
      <c r="D10"/>
      <c r="E10"/>
      <c r="F10"/>
      <c r="H10" s="19">
        <f>SUMIF($F$3:$F$5,#REF!,H$3:H$5)</f>
        <v>0</v>
      </c>
      <c r="I10" s="19">
        <f>SUMIF($F$3:$F$5,#REF!,I$3:I$5)</f>
        <v>0</v>
      </c>
      <c r="J10" s="19">
        <f>SUMIF($F$3:$F$5,#REF!,J$3:J$5)</f>
        <v>0</v>
      </c>
      <c r="K10" s="19">
        <f>SUMIF($F$3:$F$5,#REF!,K$3:K$5)</f>
        <v>0</v>
      </c>
      <c r="L10" s="7">
        <f>SUMIF($F$3:$F$5,#REF!,L$3:L$5)</f>
        <v>0</v>
      </c>
      <c r="M10" s="7">
        <f>SUMIF($F$3:$F$5,#REF!,M$3:M$5)</f>
        <v>0</v>
      </c>
      <c r="N10" s="7">
        <f>SUMIF($F$3:$F$5,#REF!,N$3:N$5)</f>
        <v>0</v>
      </c>
      <c r="O10" s="7">
        <f>SUMIF($F$3:$F$5,#REF!,O$3:O$5)</f>
        <v>0</v>
      </c>
      <c r="P10" s="7">
        <f>SUMIF($F$3:$F$5,#REF!,P$3:P$5)</f>
        <v>0</v>
      </c>
      <c r="Q10" s="5">
        <f>SUMIF($F$3:$F$5,#REF!,Q$3:Q$5)</f>
        <v>0</v>
      </c>
      <c r="R10" s="5">
        <f>SUMIF($F$3:$F$5,#REF!,R$3:R$5)</f>
        <v>0</v>
      </c>
      <c r="S10" s="5">
        <f>SUMIF($F$3:$F$5,#REF!,S$3:S$5)</f>
        <v>0</v>
      </c>
    </row>
    <row r="11" spans="1:19" s="3" customFormat="1" ht="18.75" hidden="1" customHeight="1">
      <c r="A11"/>
      <c r="B11"/>
      <c r="C11"/>
      <c r="D11"/>
      <c r="E11"/>
      <c r="F11"/>
      <c r="H11" s="19">
        <f>SUMIF($F$3:$F$5,#REF!,H$3:H$5)</f>
        <v>0</v>
      </c>
      <c r="I11" s="19">
        <f>SUMIF($F$3:$F$5,#REF!,I$3:I$5)</f>
        <v>0</v>
      </c>
      <c r="J11" s="19">
        <f>SUMIF($F$3:$F$5,#REF!,J$3:J$5)</f>
        <v>0</v>
      </c>
      <c r="K11" s="19">
        <f>SUMIF($F$3:$F$5,#REF!,K$3:K$5)</f>
        <v>0</v>
      </c>
      <c r="L11" s="7">
        <f>SUMIF($F$3:$F$5,#REF!,L$3:L$5)</f>
        <v>0</v>
      </c>
      <c r="M11" s="7">
        <f>SUMIF($F$3:$F$5,#REF!,M$3:M$5)</f>
        <v>0</v>
      </c>
      <c r="N11" s="7">
        <f>SUMIF($F$3:$F$5,#REF!,N$3:N$5)</f>
        <v>0</v>
      </c>
      <c r="O11" s="7">
        <f>SUMIF($F$3:$F$5,#REF!,O$3:O$5)</f>
        <v>0</v>
      </c>
      <c r="P11" s="7">
        <f>SUMIF($F$3:$F$5,#REF!,P$3:P$5)</f>
        <v>0</v>
      </c>
      <c r="Q11" s="5">
        <f>SUMIF($F$3:$F$5,#REF!,Q$3:Q$5)</f>
        <v>0</v>
      </c>
      <c r="R11" s="5">
        <f>SUMIF($F$3:$F$5,#REF!,R$3:R$5)</f>
        <v>0</v>
      </c>
      <c r="S11" s="5">
        <f>SUMIF($F$3:$F$5,#REF!,S$3:S$5)</f>
        <v>0</v>
      </c>
    </row>
    <row r="12" spans="1:19" s="3" customFormat="1" ht="18.75" hidden="1" customHeight="1">
      <c r="A12"/>
      <c r="B12"/>
      <c r="C12"/>
      <c r="D12"/>
      <c r="E12"/>
      <c r="F12"/>
      <c r="H12" s="23">
        <f>SUMIF($F$3:$F$5,#REF!,H$3:H$5)</f>
        <v>0</v>
      </c>
      <c r="I12" s="23">
        <f>SUMIF($F$3:$F$5,#REF!,I$3:I$5)</f>
        <v>0</v>
      </c>
      <c r="J12" s="23">
        <f>SUMIF($F$3:$F$5,#REF!,J$3:J$5)</f>
        <v>0</v>
      </c>
      <c r="K12" s="23">
        <f>SUMIF($F$3:$F$5,#REF!,K$3:K$5)</f>
        <v>0</v>
      </c>
      <c r="L12" s="21">
        <f>SUMIF($F$3:$F$5,#REF!,L$3:L$5)</f>
        <v>0</v>
      </c>
      <c r="M12" s="21">
        <f>SUMIF($F$3:$F$5,#REF!,M$3:M$5)</f>
        <v>0</v>
      </c>
      <c r="N12" s="21">
        <f>SUMIF($F$3:$F$5,#REF!,N$3:N$5)</f>
        <v>0</v>
      </c>
      <c r="O12" s="21">
        <f>SUMIF($F$3:$F$5,#REF!,O$3:O$5)</f>
        <v>0</v>
      </c>
      <c r="P12" s="21">
        <f>SUMIF($F$3:$F$5,#REF!,P$3:P$5)</f>
        <v>0</v>
      </c>
      <c r="Q12" s="10">
        <f>SUMIF($F$3:$F$5,#REF!,Q$3:Q$5)</f>
        <v>0</v>
      </c>
      <c r="R12" s="10">
        <f>SUMIF($F$3:$F$5,#REF!,R$3:R$5)</f>
        <v>0</v>
      </c>
      <c r="S12" s="10">
        <f>SUMIF($F$3:$F$5,#REF!,S$3:S$5)</f>
        <v>0</v>
      </c>
    </row>
    <row r="13" spans="1:19" s="3" customFormat="1" ht="18.75" hidden="1" customHeight="1">
      <c r="A13"/>
      <c r="B13"/>
      <c r="C13"/>
      <c r="D13"/>
      <c r="E13"/>
      <c r="F13"/>
      <c r="H13" s="29">
        <f t="shared" ref="H13:S13" si="1">SUM(H9:H12)</f>
        <v>0</v>
      </c>
      <c r="I13" s="29">
        <f t="shared" si="1"/>
        <v>0</v>
      </c>
      <c r="J13" s="29">
        <f t="shared" si="1"/>
        <v>0</v>
      </c>
      <c r="K13" s="29">
        <f t="shared" si="1"/>
        <v>0</v>
      </c>
      <c r="L13" s="29">
        <f t="shared" si="1"/>
        <v>0</v>
      </c>
      <c r="M13" s="29">
        <f t="shared" si="1"/>
        <v>0</v>
      </c>
      <c r="N13" s="29">
        <f t="shared" si="1"/>
        <v>0</v>
      </c>
      <c r="O13" s="29">
        <f t="shared" si="1"/>
        <v>0</v>
      </c>
      <c r="P13" s="29">
        <f t="shared" si="1"/>
        <v>0</v>
      </c>
      <c r="Q13" s="31">
        <f t="shared" si="1"/>
        <v>0</v>
      </c>
      <c r="R13" s="31">
        <f t="shared" si="1"/>
        <v>0</v>
      </c>
      <c r="S13" s="31">
        <f t="shared" si="1"/>
        <v>0</v>
      </c>
    </row>
    <row r="14" spans="1:19" ht="13.5">
      <c r="F14"/>
    </row>
    <row r="18" s="3" customFormat="1" ht="21.75" customHeight="1"/>
    <row r="19" s="3" customFormat="1" ht="21.75" customHeight="1"/>
    <row r="20" s="3" customFormat="1" ht="21.75" customHeight="1"/>
    <row r="21" ht="18.75" customHeight="1"/>
    <row r="22" s="3" customFormat="1" ht="21.75" customHeight="1"/>
    <row r="23" s="3" customFormat="1" ht="21.75" customHeight="1"/>
  </sheetData>
  <mergeCells count="1">
    <mergeCell ref="A6:F6"/>
  </mergeCells>
  <phoneticPr fontId="4" type="noConversion"/>
  <pageMargins left="0.31496062992125984" right="0.31496062992125984" top="0.74803149606299213" bottom="0.74803149606299213" header="0.31496062992125984" footer="0.31496062992125984"/>
  <pageSetup paperSize="8" scale="90" orientation="landscape" horizontalDpi="1200" verticalDpi="1200" r:id="rId1"/>
  <ignoredErrors>
    <ignoredError sqref="H6:S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BodduKrishna.Chaitanya@adani.com</dc:creator>
  <cp:keywords/>
  <dc:description/>
  <cp:lastModifiedBy/>
  <cp:revision/>
  <dcterms:created xsi:type="dcterms:W3CDTF">2023-06-06T09:39:51Z</dcterms:created>
  <dcterms:modified xsi:type="dcterms:W3CDTF">2026-01-05T05:23:05Z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5e5bb-b948-41e6-b7e6-5c49cc2aea36_Enabled">
    <vt:lpwstr>true</vt:lpwstr>
  </property>
  <property fmtid="{D5CDD505-2E9C-101B-9397-08002B2CF9AE}" pid="3" name="MSIP_Label_2db5e5bb-b948-41e6-b7e6-5c49cc2aea36_SetDate">
    <vt:lpwstr>2025-11-22T09:21:45Z</vt:lpwstr>
  </property>
  <property fmtid="{D5CDD505-2E9C-101B-9397-08002B2CF9AE}" pid="4" name="MSIP_Label_2db5e5bb-b948-41e6-b7e6-5c49cc2aea36_Method">
    <vt:lpwstr>Standard</vt:lpwstr>
  </property>
  <property fmtid="{D5CDD505-2E9C-101B-9397-08002B2CF9AE}" pid="5" name="MSIP_Label_2db5e5bb-b948-41e6-b7e6-5c49cc2aea36_Name">
    <vt:lpwstr>Public</vt:lpwstr>
  </property>
  <property fmtid="{D5CDD505-2E9C-101B-9397-08002B2CF9AE}" pid="6" name="MSIP_Label_2db5e5bb-b948-41e6-b7e6-5c49cc2aea36_SiteId">
    <vt:lpwstr>04c72f56-1848-46a2-8167-8e5d36510cbc</vt:lpwstr>
  </property>
  <property fmtid="{D5CDD505-2E9C-101B-9397-08002B2CF9AE}" pid="7" name="MSIP_Label_2db5e5bb-b948-41e6-b7e6-5c49cc2aea36_ActionId">
    <vt:lpwstr>a3f87ee5-a2b3-4ffe-8dfe-28ae95e2b44e</vt:lpwstr>
  </property>
  <property fmtid="{D5CDD505-2E9C-101B-9397-08002B2CF9AE}" pid="8" name="MSIP_Label_2db5e5bb-b948-41e6-b7e6-5c49cc2aea36_ContentBits">
    <vt:lpwstr>0</vt:lpwstr>
  </property>
</Properties>
</file>